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16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xp33\PortableApps\UwAmp\www\dcg-ue8\annales\"/>
    </mc:Choice>
  </mc:AlternateContent>
  <xr:revisionPtr revIDLastSave="0" documentId="13_ncr:1_{4AD6DB84-9C78-4440-A7FE-60D664794835}" xr6:coauthVersionLast="47" xr6:coauthVersionMax="47" xr10:uidLastSave="{00000000-0000-0000-0000-000000000000}"/>
  <bookViews>
    <workbookView xWindow="28680" yWindow="-120" windowWidth="29040" windowHeight="16440" xr2:uid="{4E82D9FE-2BB2-4D64-8F73-BA000D2EE6DE}"/>
  </bookViews>
  <sheets>
    <sheet name="." sheetId="12" r:id="rId1"/>
    <sheet name="SALARIE" sheetId="1" r:id="rId2"/>
    <sheet name="CHAUFFEUR" sheetId="2" r:id="rId3"/>
    <sheet name="VEHICULE" sheetId="4" r:id="rId4"/>
    <sheet name="TOURNEE" sheetId="5" r:id="rId5"/>
    <sheet name="ENTREPOT" sheetId="7" r:id="rId6"/>
    <sheet name="PDL" sheetId="6" r:id="rId7"/>
    <sheet name="AFFECTER" sheetId="9" r:id="rId8"/>
    <sheet name="EFFECTUER" sheetId="10" r:id="rId9"/>
    <sheet name="CONCERNER" sheetId="11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4" l="1"/>
  <c r="B2" i="4"/>
  <c r="D2" i="4" s="1"/>
  <c r="C2" i="4" l="1"/>
</calcChain>
</file>

<file path=xl/sharedStrings.xml><?xml version="1.0" encoding="utf-8"?>
<sst xmlns="http://schemas.openxmlformats.org/spreadsheetml/2006/main" count="1715" uniqueCount="760">
  <si>
    <t>NumSal</t>
  </si>
  <si>
    <t>NomSal</t>
  </si>
  <si>
    <t>PrenomSal</t>
  </si>
  <si>
    <t>DateNaissSal</t>
  </si>
  <si>
    <t>NumPermisPL</t>
  </si>
  <si>
    <t>DateObtention</t>
  </si>
  <si>
    <t>DateVisiteMed</t>
  </si>
  <si>
    <t>NumImmat</t>
  </si>
  <si>
    <t>NbEssieu</t>
  </si>
  <si>
    <t>Volume</t>
  </si>
  <si>
    <t>PTRA</t>
  </si>
  <si>
    <t>CodeTourn</t>
  </si>
  <si>
    <t>DuréeEstim</t>
  </si>
  <si>
    <t>NbKMTheor</t>
  </si>
  <si>
    <t>CodePDL</t>
  </si>
  <si>
    <t>RaisonSociale</t>
  </si>
  <si>
    <t>AdresseRuePDL</t>
  </si>
  <si>
    <t>AdresseCPPDL</t>
  </si>
  <si>
    <t>GPSLatPDL</t>
  </si>
  <si>
    <t>GPSLongPDL</t>
  </si>
  <si>
    <t>TéléphonePDL</t>
  </si>
  <si>
    <t>CodeEnt</t>
  </si>
  <si>
    <t>AdresseRueEnt</t>
  </si>
  <si>
    <t>AdresseCPEnt</t>
  </si>
  <si>
    <t>AdresseVilleEnt</t>
  </si>
  <si>
    <t>AdresseVillePDL</t>
  </si>
  <si>
    <t>GPSLatEnt</t>
  </si>
  <si>
    <t>GPSLongEnt</t>
  </si>
  <si>
    <t>Surface</t>
  </si>
  <si>
    <t>#DateJour</t>
  </si>
  <si>
    <t>#NumImmat</t>
  </si>
  <si>
    <t>#NumSalChauf</t>
  </si>
  <si>
    <t>#NumSalChauffeur</t>
  </si>
  <si>
    <t>#CodeTourn</t>
  </si>
  <si>
    <t>B.</t>
  </si>
  <si>
    <t>Gabriel</t>
  </si>
  <si>
    <t>P.</t>
  </si>
  <si>
    <t>Raphaël</t>
  </si>
  <si>
    <t>O.</t>
  </si>
  <si>
    <t>Léo</t>
  </si>
  <si>
    <t>U.</t>
  </si>
  <si>
    <t>Louis</t>
  </si>
  <si>
    <t>M.</t>
  </si>
  <si>
    <t>Emma</t>
  </si>
  <si>
    <t>C.</t>
  </si>
  <si>
    <t>Lucas</t>
  </si>
  <si>
    <t>D.</t>
  </si>
  <si>
    <t>Jade</t>
  </si>
  <si>
    <t>A.</t>
  </si>
  <si>
    <t>Adam</t>
  </si>
  <si>
    <t>Louise</t>
  </si>
  <si>
    <t>T.</t>
  </si>
  <si>
    <t>Arthur</t>
  </si>
  <si>
    <t>L.</t>
  </si>
  <si>
    <t>Jules</t>
  </si>
  <si>
    <t>G.</t>
  </si>
  <si>
    <t>Hugo</t>
  </si>
  <si>
    <t>Ë.</t>
  </si>
  <si>
    <t>Maël</t>
  </si>
  <si>
    <t>H.</t>
  </si>
  <si>
    <t>Ethan</t>
  </si>
  <si>
    <t>I.</t>
  </si>
  <si>
    <t>Alice</t>
  </si>
  <si>
    <t>Chloé</t>
  </si>
  <si>
    <t>Liam</t>
  </si>
  <si>
    <t>È.</t>
  </si>
  <si>
    <t>Inès</t>
  </si>
  <si>
    <t>Paul</t>
  </si>
  <si>
    <t>Nathan</t>
  </si>
  <si>
    <t>N.</t>
  </si>
  <si>
    <t>Lina</t>
  </si>
  <si>
    <t>Léa</t>
  </si>
  <si>
    <t>Gabin</t>
  </si>
  <si>
    <t>Sacha</t>
  </si>
  <si>
    <t>S.</t>
  </si>
  <si>
    <t>Rose</t>
  </si>
  <si>
    <t>Noah</t>
  </si>
  <si>
    <t>Léna</t>
  </si>
  <si>
    <t>Anna</t>
  </si>
  <si>
    <t>Mila</t>
  </si>
  <si>
    <t>Tom</t>
  </si>
  <si>
    <t>Mohamed</t>
  </si>
  <si>
    <t>Mia</t>
  </si>
  <si>
    <t>Ambre</t>
  </si>
  <si>
    <t>E.</t>
  </si>
  <si>
    <t>Elena</t>
  </si>
  <si>
    <t>Julia</t>
  </si>
  <si>
    <t>É.</t>
  </si>
  <si>
    <t>Théo</t>
  </si>
  <si>
    <t>R.</t>
  </si>
  <si>
    <t>Aaron</t>
  </si>
  <si>
    <t>Eden</t>
  </si>
  <si>
    <t>Cavaillon</t>
  </si>
  <si>
    <t>Berre-l'Étang</t>
  </si>
  <si>
    <t>Brébières</t>
  </si>
  <si>
    <t>4.95</t>
  </si>
  <si>
    <t>43.733333</t>
  </si>
  <si>
    <t>5.466667</t>
  </si>
  <si>
    <t>44.1</t>
  </si>
  <si>
    <t>44.133333</t>
  </si>
  <si>
    <t>5.416667</t>
  </si>
  <si>
    <t>43.95</t>
  </si>
  <si>
    <t>4.816667</t>
  </si>
  <si>
    <t>5.1</t>
  </si>
  <si>
    <t>43.783333</t>
  </si>
  <si>
    <t>5.633333</t>
  </si>
  <si>
    <t>43.716667</t>
  </si>
  <si>
    <t>5.566667</t>
  </si>
  <si>
    <t>43.983333</t>
  </si>
  <si>
    <t>5.116667</t>
  </si>
  <si>
    <t>44.116667</t>
  </si>
  <si>
    <t>5.033333</t>
  </si>
  <si>
    <t>43.85</t>
  </si>
  <si>
    <t>5.233333</t>
  </si>
  <si>
    <t>5.7</t>
  </si>
  <si>
    <t>44.183333</t>
  </si>
  <si>
    <t>5.166667</t>
  </si>
  <si>
    <t>44.033333</t>
  </si>
  <si>
    <t>4.9</t>
  </si>
  <si>
    <t>44.283333</t>
  </si>
  <si>
    <t>43.816667</t>
  </si>
  <si>
    <t>5.3</t>
  </si>
  <si>
    <t>5.333333</t>
  </si>
  <si>
    <t>43.833333</t>
  </si>
  <si>
    <t>5.383333</t>
  </si>
  <si>
    <t>5.5</t>
  </si>
  <si>
    <t>43.9</t>
  </si>
  <si>
    <t>5.366667</t>
  </si>
  <si>
    <t>4.933333</t>
  </si>
  <si>
    <t>44.166667</t>
  </si>
  <si>
    <t>4.883333</t>
  </si>
  <si>
    <t>44.05</t>
  </si>
  <si>
    <t>5.05</t>
  </si>
  <si>
    <t>5.483333</t>
  </si>
  <si>
    <t>43.933333</t>
  </si>
  <si>
    <t>4.833333</t>
  </si>
  <si>
    <t>43.8</t>
  </si>
  <si>
    <t>5.066667</t>
  </si>
  <si>
    <t>44.083333</t>
  </si>
  <si>
    <t>44.216667</t>
  </si>
  <si>
    <t>5.15</t>
  </si>
  <si>
    <t>5.433333</t>
  </si>
  <si>
    <t>5.133333</t>
  </si>
  <si>
    <t>44.266667</t>
  </si>
  <si>
    <t>5.25</t>
  </si>
  <si>
    <t>43.916667</t>
  </si>
  <si>
    <t>43.866667</t>
  </si>
  <si>
    <t>43.766667</t>
  </si>
  <si>
    <t>5.583333</t>
  </si>
  <si>
    <t>44.15</t>
  </si>
  <si>
    <t>4.85</t>
  </si>
  <si>
    <t>4.683333</t>
  </si>
  <si>
    <t>44.3</t>
  </si>
  <si>
    <t>43.75</t>
  </si>
  <si>
    <t>5.316667</t>
  </si>
  <si>
    <t>44.016667</t>
  </si>
  <si>
    <t>5.216667</t>
  </si>
  <si>
    <t>44.066667</t>
  </si>
  <si>
    <t>5.183333</t>
  </si>
  <si>
    <t>5.516667</t>
  </si>
  <si>
    <t>4.8</t>
  </si>
  <si>
    <t>43.683333</t>
  </si>
  <si>
    <t>4.766667</t>
  </si>
  <si>
    <t>5.35</t>
  </si>
  <si>
    <t>4.983333</t>
  </si>
  <si>
    <t>4.916667</t>
  </si>
  <si>
    <t>44.25</t>
  </si>
  <si>
    <t>5.266667</t>
  </si>
  <si>
    <t>4.966667</t>
  </si>
  <si>
    <t>5.55</t>
  </si>
  <si>
    <t>Mas-Blanc-des-Alpilles</t>
  </si>
  <si>
    <t>43.533333</t>
  </si>
  <si>
    <t>43.333333</t>
  </si>
  <si>
    <t>43.7</t>
  </si>
  <si>
    <t>43.666667</t>
  </si>
  <si>
    <t>4.633333</t>
  </si>
  <si>
    <t>43.383333</t>
  </si>
  <si>
    <t>43.633333</t>
  </si>
  <si>
    <t>43.416667</t>
  </si>
  <si>
    <t>43.45</t>
  </si>
  <si>
    <t>43.4</t>
  </si>
  <si>
    <t>43.433333</t>
  </si>
  <si>
    <t>43.216667</t>
  </si>
  <si>
    <t>43.483333</t>
  </si>
  <si>
    <t>43.166667</t>
  </si>
  <si>
    <t>5.6</t>
  </si>
  <si>
    <t>43.566667</t>
  </si>
  <si>
    <t>43.366667</t>
  </si>
  <si>
    <t>43.35</t>
  </si>
  <si>
    <t>43.55</t>
  </si>
  <si>
    <t>43.6</t>
  </si>
  <si>
    <t>43.516667</t>
  </si>
  <si>
    <t>43.65</t>
  </si>
  <si>
    <t>43.583333</t>
  </si>
  <si>
    <t>4.783333</t>
  </si>
  <si>
    <t>4.425</t>
  </si>
  <si>
    <t>50.133333</t>
  </si>
  <si>
    <t>3.016667</t>
  </si>
  <si>
    <t>50.116667</t>
  </si>
  <si>
    <t>50.633333</t>
  </si>
  <si>
    <t>2.533333</t>
  </si>
  <si>
    <t>50.15</t>
  </si>
  <si>
    <t>3.066667</t>
  </si>
  <si>
    <t>50.383333</t>
  </si>
  <si>
    <t>2.716667</t>
  </si>
  <si>
    <t>2.733333</t>
  </si>
  <si>
    <t>2.883333</t>
  </si>
  <si>
    <t>50.266667</t>
  </si>
  <si>
    <t>2.766667</t>
  </si>
  <si>
    <t>2.783333</t>
  </si>
  <si>
    <t>2.75</t>
  </si>
  <si>
    <t>50.35</t>
  </si>
  <si>
    <t>2.65</t>
  </si>
  <si>
    <t>50.183333</t>
  </si>
  <si>
    <t>2.7</t>
  </si>
  <si>
    <t>50.683333</t>
  </si>
  <si>
    <t>2.066667</t>
  </si>
  <si>
    <t>50.3</t>
  </si>
  <si>
    <t>2.666667</t>
  </si>
  <si>
    <t>2.6</t>
  </si>
  <si>
    <t>2.4</t>
  </si>
  <si>
    <t>50.433333</t>
  </si>
  <si>
    <t>1.666667</t>
  </si>
  <si>
    <t>50.583333</t>
  </si>
  <si>
    <t>50.483333</t>
  </si>
  <si>
    <t>1.85</t>
  </si>
  <si>
    <t>50.416667</t>
  </si>
  <si>
    <t>50.783333</t>
  </si>
  <si>
    <t>1.883333</t>
  </si>
  <si>
    <t>50.516667</t>
  </si>
  <si>
    <t>1.816667</t>
  </si>
  <si>
    <t>50.733333</t>
  </si>
  <si>
    <t>1.8</t>
  </si>
  <si>
    <t>50.533333</t>
  </si>
  <si>
    <t>2.5</t>
  </si>
  <si>
    <t>50.75</t>
  </si>
  <si>
    <t>50.8</t>
  </si>
  <si>
    <t>1.6</t>
  </si>
  <si>
    <t>50.466667</t>
  </si>
  <si>
    <t>2.183333</t>
  </si>
  <si>
    <t>50.316667</t>
  </si>
  <si>
    <t>2.466667</t>
  </si>
  <si>
    <t>50.55</t>
  </si>
  <si>
    <t>2.416667</t>
  </si>
  <si>
    <t>50.866667</t>
  </si>
  <si>
    <t>1.916667</t>
  </si>
  <si>
    <t>50.5</t>
  </si>
  <si>
    <t>2.616667</t>
  </si>
  <si>
    <t>50.45</t>
  </si>
  <si>
    <t>2.25</t>
  </si>
  <si>
    <t>50.85</t>
  </si>
  <si>
    <t>1.983333</t>
  </si>
  <si>
    <t>50.366667</t>
  </si>
  <si>
    <t>2.866667</t>
  </si>
  <si>
    <t>2.283333</t>
  </si>
  <si>
    <t>50.283333</t>
  </si>
  <si>
    <t>2.833333</t>
  </si>
  <si>
    <t>1.933333</t>
  </si>
  <si>
    <t>1.75</t>
  </si>
  <si>
    <t>50.4</t>
  </si>
  <si>
    <t>2.366667</t>
  </si>
  <si>
    <t>2.1</t>
  </si>
  <si>
    <t>1.7</t>
  </si>
  <si>
    <t>50.816667</t>
  </si>
  <si>
    <t>50.883333</t>
  </si>
  <si>
    <t>2.083333</t>
  </si>
  <si>
    <t>50.833333</t>
  </si>
  <si>
    <t>50.233333</t>
  </si>
  <si>
    <t>2.116667</t>
  </si>
  <si>
    <t>2.45</t>
  </si>
  <si>
    <t>1.966667</t>
  </si>
  <si>
    <t>50.1</t>
  </si>
  <si>
    <t>2.15</t>
  </si>
  <si>
    <t>50.166667</t>
  </si>
  <si>
    <t>2.133333</t>
  </si>
  <si>
    <t>2.383333</t>
  </si>
  <si>
    <t>50.216667</t>
  </si>
  <si>
    <t>50.333333</t>
  </si>
  <si>
    <t>2.85</t>
  </si>
  <si>
    <t>2.633333</t>
  </si>
  <si>
    <t>50.716667</t>
  </si>
  <si>
    <t>1.683333</t>
  </si>
  <si>
    <t>1.9</t>
  </si>
  <si>
    <t>2.483333</t>
  </si>
  <si>
    <t>1.95</t>
  </si>
  <si>
    <t>3.05</t>
  </si>
  <si>
    <t>50.066667</t>
  </si>
  <si>
    <t>2.933333</t>
  </si>
  <si>
    <t>50.25</t>
  </si>
  <si>
    <t>2.566667</t>
  </si>
  <si>
    <t>50.7</t>
  </si>
  <si>
    <t>2.233333</t>
  </si>
  <si>
    <t>2.983333</t>
  </si>
  <si>
    <t>1.783333</t>
  </si>
  <si>
    <t>50.6</t>
  </si>
  <si>
    <t>2.433333</t>
  </si>
  <si>
    <t>50.2</t>
  </si>
  <si>
    <t>1.766667</t>
  </si>
  <si>
    <t>50.083333</t>
  </si>
  <si>
    <t>2.516667</t>
  </si>
  <si>
    <t>1.716667</t>
  </si>
  <si>
    <t>2.683333</t>
  </si>
  <si>
    <t>2.95</t>
  </si>
  <si>
    <t>2.816667</t>
  </si>
  <si>
    <t>2.9</t>
  </si>
  <si>
    <t>2.216667</t>
  </si>
  <si>
    <t>2.166667</t>
  </si>
  <si>
    <t>2.266667</t>
  </si>
  <si>
    <t>50.666667</t>
  </si>
  <si>
    <t>50.616667</t>
  </si>
  <si>
    <t>2.333333</t>
  </si>
  <si>
    <t>2.2</t>
  </si>
  <si>
    <t>2.916667</t>
  </si>
  <si>
    <t>2.8</t>
  </si>
  <si>
    <t>50.566667</t>
  </si>
  <si>
    <t>2.016667</t>
  </si>
  <si>
    <t>1.616667</t>
  </si>
  <si>
    <t>3.1</t>
  </si>
  <si>
    <t>50.766667</t>
  </si>
  <si>
    <t>1.833333</t>
  </si>
  <si>
    <t>2.033333</t>
  </si>
  <si>
    <t>1.733333</t>
  </si>
  <si>
    <t>3.033333</t>
  </si>
  <si>
    <t>2.35</t>
  </si>
  <si>
    <t>2.966667</t>
  </si>
  <si>
    <t>50.95</t>
  </si>
  <si>
    <t>1.866667</t>
  </si>
  <si>
    <t>50.65</t>
  </si>
  <si>
    <t>2.583333</t>
  </si>
  <si>
    <t>1.65</t>
  </si>
  <si>
    <t>50.933333</t>
  </si>
  <si>
    <t>50.916667</t>
  </si>
  <si>
    <t>2.05</t>
  </si>
  <si>
    <t>1.566667</t>
  </si>
  <si>
    <t>2.316667</t>
  </si>
  <si>
    <t>3.083333</t>
  </si>
  <si>
    <t>50.341667</t>
  </si>
  <si>
    <t>50.441667</t>
  </si>
  <si>
    <t>2.141667</t>
  </si>
  <si>
    <t>1.633333</t>
  </si>
  <si>
    <t>3.116667</t>
  </si>
  <si>
    <t>50.458333</t>
  </si>
  <si>
    <t>50.966667</t>
  </si>
  <si>
    <t>Althen-des-Paluds</t>
  </si>
  <si>
    <t>Ansouis</t>
  </si>
  <si>
    <t>Aurel</t>
  </si>
  <si>
    <t>Avignon</t>
  </si>
  <si>
    <t>La Bastidonne</t>
  </si>
  <si>
    <t>Le Beaucet</t>
  </si>
  <si>
    <t>Beaumes-de-Venise</t>
  </si>
  <si>
    <t>Beaumettes</t>
  </si>
  <si>
    <t>Bonnieux</t>
  </si>
  <si>
    <t>Châteauneuf-de-Gadagne</t>
  </si>
  <si>
    <t>Châteauneuf-du-Pape</t>
  </si>
  <si>
    <t>Cheval-Blanc</t>
  </si>
  <si>
    <t>L'Isle-sur-la-Sorgue</t>
  </si>
  <si>
    <t>Lafare</t>
  </si>
  <si>
    <t>Lagarde-Paréol</t>
  </si>
  <si>
    <t>Lagnes</t>
  </si>
  <si>
    <t>Lapalud</t>
  </si>
  <si>
    <t>Lauris</t>
  </si>
  <si>
    <t>Loriol-du-Comtat</t>
  </si>
  <si>
    <t>Maubec</t>
  </si>
  <si>
    <t>Mazan</t>
  </si>
  <si>
    <t>Ménerbes</t>
  </si>
  <si>
    <t>Méthamis</t>
  </si>
  <si>
    <t>Modène</t>
  </si>
  <si>
    <t>Monieux</t>
  </si>
  <si>
    <t>La Motte-d'Aigues</t>
  </si>
  <si>
    <t>Piolenc</t>
  </si>
  <si>
    <t>Puyméras</t>
  </si>
  <si>
    <t>Rasteau</t>
  </si>
  <si>
    <t>La Roque-Alric</t>
  </si>
  <si>
    <t>Sablet</t>
  </si>
  <si>
    <t>Sainte-Cécile-les-Vignes</t>
  </si>
  <si>
    <t>Saint-Christol</t>
  </si>
  <si>
    <t>Saint-Didier</t>
  </si>
  <si>
    <t>Saint-Pierre-de-Vassols</t>
  </si>
  <si>
    <t>Saint-Romain-en-Viennois</t>
  </si>
  <si>
    <t>Saint-Roman-de-Malegarde</t>
  </si>
  <si>
    <t>Suzette</t>
  </si>
  <si>
    <t>Taillades</t>
  </si>
  <si>
    <t>Travaillan</t>
  </si>
  <si>
    <t>Uchaux</t>
  </si>
  <si>
    <t>Vacqueyras</t>
  </si>
  <si>
    <t>Vedène</t>
  </si>
  <si>
    <t>Velleron</t>
  </si>
  <si>
    <t>Venasque</t>
  </si>
  <si>
    <t>Viens</t>
  </si>
  <si>
    <t>Villedieu</t>
  </si>
  <si>
    <t>Villes-sur-Auzon</t>
  </si>
  <si>
    <t>Aix-en-Provence</t>
  </si>
  <si>
    <t>Allauch</t>
  </si>
  <si>
    <t>Alleins</t>
  </si>
  <si>
    <t>Arles</t>
  </si>
  <si>
    <t>Aureille</t>
  </si>
  <si>
    <t>Bouc-Bel-Air</t>
  </si>
  <si>
    <t>Cabannes</t>
  </si>
  <si>
    <t>Cabriès</t>
  </si>
  <si>
    <t>Cadolive</t>
  </si>
  <si>
    <t>Carry-le-Rouet</t>
  </si>
  <si>
    <t>Châteauneuf-le-Rouge</t>
  </si>
  <si>
    <t>La Ciotat</t>
  </si>
  <si>
    <t>Éguilles</t>
  </si>
  <si>
    <t>Eyguières</t>
  </si>
  <si>
    <t>La Fare-les-Oliviers</t>
  </si>
  <si>
    <t>Gardanne</t>
  </si>
  <si>
    <t>Grans</t>
  </si>
  <si>
    <t>Graveson</t>
  </si>
  <si>
    <t>Jouques</t>
  </si>
  <si>
    <t>Lambesc</t>
  </si>
  <si>
    <t>Maillane</t>
  </si>
  <si>
    <t>Mallemort</t>
  </si>
  <si>
    <t>Marignane</t>
  </si>
  <si>
    <t>Martigues</t>
  </si>
  <si>
    <t>Orgon</t>
  </si>
  <si>
    <t>Peypin</t>
  </si>
  <si>
    <t>Plan-de-Cuques</t>
  </si>
  <si>
    <t>Rognac</t>
  </si>
  <si>
    <t>Rognonas</t>
  </si>
  <si>
    <t>Roquevaire</t>
  </si>
  <si>
    <t>Le Rove</t>
  </si>
  <si>
    <t>Saint-Antonin-sur-Bayon</t>
  </si>
  <si>
    <t>Saint-Marc-Jaumegarde</t>
  </si>
  <si>
    <t>Saintes-Maries-de-la-Mer</t>
  </si>
  <si>
    <t>Saint-Martin-de-Crau</t>
  </si>
  <si>
    <t>Saint-Paul-lez-Durance</t>
  </si>
  <si>
    <t>Saint-Victoret</t>
  </si>
  <si>
    <t>Septèmes-les-Vallons</t>
  </si>
  <si>
    <t>Le Tholonet</t>
  </si>
  <si>
    <t>Velaux</t>
  </si>
  <si>
    <t>Verquières</t>
  </si>
  <si>
    <t>Carro</t>
  </si>
  <si>
    <t>Les Cayols</t>
  </si>
  <si>
    <t>Puyricard</t>
  </si>
  <si>
    <t>L'Estaque</t>
  </si>
  <si>
    <t>Les Gorguettes</t>
  </si>
  <si>
    <t>La Gavotte</t>
  </si>
  <si>
    <t>Lavéra</t>
  </si>
  <si>
    <t>Les Goudes</t>
  </si>
  <si>
    <t>Doignies</t>
  </si>
  <si>
    <t>Moeuvres</t>
  </si>
  <si>
    <t>Ablainzevelle</t>
  </si>
  <si>
    <t>Achiet-le-Petit</t>
  </si>
  <si>
    <t>Adinfer</t>
  </si>
  <si>
    <t>Aix-en-Ergny</t>
  </si>
  <si>
    <t>Alembon</t>
  </si>
  <si>
    <t>Alette</t>
  </si>
  <si>
    <t>Allouagne</t>
  </si>
  <si>
    <t>Ambleteuse</t>
  </si>
  <si>
    <t>Ambrines</t>
  </si>
  <si>
    <t>Amplier</t>
  </si>
  <si>
    <t>Andres</t>
  </si>
  <si>
    <t>Annequin</t>
  </si>
  <si>
    <t>Anzin-Saint-Aubin</t>
  </si>
  <si>
    <t>Arras</t>
  </si>
  <si>
    <t>Auchel</t>
  </si>
  <si>
    <t>Auchy-lès-Hesdin</t>
  </si>
  <si>
    <t>Audrehem</t>
  </si>
  <si>
    <t>Auxi-le-Château</t>
  </si>
  <si>
    <t>Averdoingt</t>
  </si>
  <si>
    <t>Avion</t>
  </si>
  <si>
    <t>Avroult</t>
  </si>
  <si>
    <t>Baincthun</t>
  </si>
  <si>
    <t>Baralle</t>
  </si>
  <si>
    <t>Barastre</t>
  </si>
  <si>
    <t>Barlin</t>
  </si>
  <si>
    <t>Bayenghem-lès-Seninghem</t>
  </si>
  <si>
    <t>Béalencourt</t>
  </si>
  <si>
    <t>Beaurains</t>
  </si>
  <si>
    <t>Beaurainville</t>
  </si>
  <si>
    <t>Bellebrune</t>
  </si>
  <si>
    <t>Belle-et-Houllefort</t>
  </si>
  <si>
    <t>Bellonne</t>
  </si>
  <si>
    <t>Bergueneuse</t>
  </si>
  <si>
    <t>Berguette</t>
  </si>
  <si>
    <t>Berlencourt-le-Cauroy</t>
  </si>
  <si>
    <t>Bermicourt</t>
  </si>
  <si>
    <t>Beugin</t>
  </si>
  <si>
    <t>Beugnâtre</t>
  </si>
  <si>
    <t>Bezinghem</t>
  </si>
  <si>
    <t>Bimont</t>
  </si>
  <si>
    <t>Bléquin</t>
  </si>
  <si>
    <t>Boiry-Saint-Martin</t>
  </si>
  <si>
    <t>Boisdinghem</t>
  </si>
  <si>
    <t>Bonningues-lès-Ardres</t>
  </si>
  <si>
    <t>Boubers-lès-Hesmond</t>
  </si>
  <si>
    <t>Boubers-sur-Canche</t>
  </si>
  <si>
    <t>Bouin</t>
  </si>
  <si>
    <t>Bourthes</t>
  </si>
  <si>
    <t>Brévillers</t>
  </si>
  <si>
    <t>Bréxent-Énocq</t>
  </si>
  <si>
    <t>Brimeux</t>
  </si>
  <si>
    <t>Brunembert</t>
  </si>
  <si>
    <t>Buire-au-Bois</t>
  </si>
  <si>
    <t>Buire-le-Sec</t>
  </si>
  <si>
    <t>Burbure</t>
  </si>
  <si>
    <t>Busnes</t>
  </si>
  <si>
    <t>Caffiers</t>
  </si>
  <si>
    <t>Calais</t>
  </si>
  <si>
    <t>Campigneulles-les-Petites</t>
  </si>
  <si>
    <t>Canettemont</t>
  </si>
  <si>
    <t>Carvin</t>
  </si>
  <si>
    <t>Caumont</t>
  </si>
  <si>
    <t>Chelers</t>
  </si>
  <si>
    <t>Chériennes</t>
  </si>
  <si>
    <t>Clerques</t>
  </si>
  <si>
    <t>Conchy-sur-Canche</t>
  </si>
  <si>
    <t>Condette</t>
  </si>
  <si>
    <t>Contes</t>
  </si>
  <si>
    <t>Coquelles</t>
  </si>
  <si>
    <t>Couin</t>
  </si>
  <si>
    <t>Coulogne</t>
  </si>
  <si>
    <t>Coulomby</t>
  </si>
  <si>
    <t>Coupelle-Vieille</t>
  </si>
  <si>
    <t>Courset</t>
  </si>
  <si>
    <t>Crémarest</t>
  </si>
  <si>
    <t>Crépy</t>
  </si>
  <si>
    <t>Créquy</t>
  </si>
  <si>
    <t>Croisette</t>
  </si>
  <si>
    <t>Croisilles</t>
  </si>
  <si>
    <t>Cucq</t>
  </si>
  <si>
    <t>Dennebroeucq</t>
  </si>
  <si>
    <t>Diéval</t>
  </si>
  <si>
    <t>Divion</t>
  </si>
  <si>
    <t>Doudeauville</t>
  </si>
  <si>
    <t>Douvrin</t>
  </si>
  <si>
    <t>Duisans</t>
  </si>
  <si>
    <t>Écourt-Saint-Quentin</t>
  </si>
  <si>
    <t>Écoust-Saint-Mein</t>
  </si>
  <si>
    <t>Ecquedecques</t>
  </si>
  <si>
    <t>Écuires</t>
  </si>
  <si>
    <t>Éleu-dit-Leauwette</t>
  </si>
  <si>
    <t>Embry</t>
  </si>
  <si>
    <t>Erny-Saint-Julien</t>
  </si>
  <si>
    <t>Esquerdes</t>
  </si>
  <si>
    <t>Essars</t>
  </si>
  <si>
    <t>Estevelles</t>
  </si>
  <si>
    <t>Estrée</t>
  </si>
  <si>
    <t>Estrée-Cauchy</t>
  </si>
  <si>
    <t>Étaing</t>
  </si>
  <si>
    <t>Étrun</t>
  </si>
  <si>
    <t>Fampoux</t>
  </si>
  <si>
    <t>Farbus</t>
  </si>
  <si>
    <t>Favreuil</t>
  </si>
  <si>
    <t>Ferques</t>
  </si>
  <si>
    <t>Ficheux</t>
  </si>
  <si>
    <t>Fiefs</t>
  </si>
  <si>
    <t>Fleurbaix</t>
  </si>
  <si>
    <t>Floringhem</t>
  </si>
  <si>
    <t>Fontaine-lès-Hermans</t>
  </si>
  <si>
    <t>Fontaine-l'Etalon</t>
  </si>
  <si>
    <t>Fosseux</t>
  </si>
  <si>
    <t>Fouquereuil</t>
  </si>
  <si>
    <t>Fréthun</t>
  </si>
  <si>
    <t>Frévent</t>
  </si>
  <si>
    <t>Givenchy-le-Noble</t>
  </si>
  <si>
    <t>Gonnehem</t>
  </si>
  <si>
    <t>Gosnay</t>
  </si>
  <si>
    <t>Gouy-en-Artois</t>
  </si>
  <si>
    <t>Grévillers</t>
  </si>
  <si>
    <t>Grigny</t>
  </si>
  <si>
    <t>Groffliers</t>
  </si>
  <si>
    <t>Guînes</t>
  </si>
  <si>
    <t>Halinghen</t>
  </si>
  <si>
    <t>Hamelincourt</t>
  </si>
  <si>
    <t>Hannescamps</t>
  </si>
  <si>
    <t>Haravesnes</t>
  </si>
  <si>
    <t>Haute Avesnes</t>
  </si>
  <si>
    <t>Haut-Maînil</t>
  </si>
  <si>
    <t>Hendecourt-lès-Cagnicourt</t>
  </si>
  <si>
    <t>Hendecourt-lès-Ransart</t>
  </si>
  <si>
    <t>Héninel</t>
  </si>
  <si>
    <t>Henneveux</t>
  </si>
  <si>
    <t>Herlin-le-Sec</t>
  </si>
  <si>
    <t>Hermies</t>
  </si>
  <si>
    <t>Hersin-Coupigny</t>
  </si>
  <si>
    <t>Hesmond</t>
  </si>
  <si>
    <t>Hestrus</t>
  </si>
  <si>
    <t>Houchin</t>
  </si>
  <si>
    <t>Houlle</t>
  </si>
  <si>
    <t>Huby-Saint-Leu</t>
  </si>
  <si>
    <t>Huclier</t>
  </si>
  <si>
    <t>Hulluch</t>
  </si>
  <si>
    <t>Inxent</t>
  </si>
  <si>
    <t>Isques</t>
  </si>
  <si>
    <t>Labuissière</t>
  </si>
  <si>
    <t>Lagnicourt-Marcel</t>
  </si>
  <si>
    <t>Landrethun-le-Nord</t>
  </si>
  <si>
    <t>Landrethun-lès-Ardres</t>
  </si>
  <si>
    <t>Laventie</t>
  </si>
  <si>
    <t>Lens</t>
  </si>
  <si>
    <t>Lespesses</t>
  </si>
  <si>
    <t>Leulinghem</t>
  </si>
  <si>
    <t>Leulinghen-Bernes</t>
  </si>
  <si>
    <t>Ligny-lès-Aire</t>
  </si>
  <si>
    <t>Lillers</t>
  </si>
  <si>
    <t>Linzeux</t>
  </si>
  <si>
    <t>Loison-sous-Lens</t>
  </si>
  <si>
    <t>Longvillers</t>
  </si>
  <si>
    <t>Lorgies</t>
  </si>
  <si>
    <t>Lottinghen</t>
  </si>
  <si>
    <t>Lozinghem</t>
  </si>
  <si>
    <t>Lumbres</t>
  </si>
  <si>
    <t>Magnicourt-sur-Canche</t>
  </si>
  <si>
    <t>Maisnil</t>
  </si>
  <si>
    <t>Maisnil-lès-Ruitz</t>
  </si>
  <si>
    <t>Maisoncelle</t>
  </si>
  <si>
    <t>Maizières</t>
  </si>
  <si>
    <t>Maninghen-Henne</t>
  </si>
  <si>
    <t>Marconne</t>
  </si>
  <si>
    <t>Marenla</t>
  </si>
  <si>
    <t>Maresville</t>
  </si>
  <si>
    <t>Marles-sur-Canche</t>
  </si>
  <si>
    <t>Marquay</t>
  </si>
  <si>
    <t>Marquion</t>
  </si>
  <si>
    <t>Marquise</t>
  </si>
  <si>
    <t>Menneville</t>
  </si>
  <si>
    <t>Mercatel</t>
  </si>
  <si>
    <t>Merck-Saint-Liévin</t>
  </si>
  <si>
    <t>Méricourt</t>
  </si>
  <si>
    <t>Merlimont</t>
  </si>
  <si>
    <t>Metz-en-Couture</t>
  </si>
  <si>
    <t>Meurchin</t>
  </si>
  <si>
    <t>Monchel-sur Canche</t>
  </si>
  <si>
    <t>Monchiet</t>
  </si>
  <si>
    <t>Monchy-le-Preux</t>
  </si>
  <si>
    <t>Montcavrel</t>
  </si>
  <si>
    <t>Montenescourt</t>
  </si>
  <si>
    <t>Morchies</t>
  </si>
  <si>
    <t>Moulle</t>
  </si>
  <si>
    <t>Mouriez</t>
  </si>
  <si>
    <t>Moyenneville</t>
  </si>
  <si>
    <t>Nabringhen</t>
  </si>
  <si>
    <t>Neuve-Chapelle</t>
  </si>
  <si>
    <t>Neuville-au-Cornet</t>
  </si>
  <si>
    <t>Neuville-Vitasse</t>
  </si>
  <si>
    <t>Nielles-lès-Bléquin</t>
  </si>
  <si>
    <t>Noeux-les-Mines</t>
  </si>
  <si>
    <t>Noreuil</t>
  </si>
  <si>
    <t>Noyelles-Godault</t>
  </si>
  <si>
    <t>Noyelles-lès-Vermelles</t>
  </si>
  <si>
    <t>Noyelles-sous-Bellonne</t>
  </si>
  <si>
    <t>Nuncq Hautecote</t>
  </si>
  <si>
    <t>Oisy-le-Verger</t>
  </si>
  <si>
    <t>Ourton</t>
  </si>
  <si>
    <t>Palluel</t>
  </si>
  <si>
    <t>Le Parcq</t>
  </si>
  <si>
    <t>Pernes-lès-Boulogne</t>
  </si>
  <si>
    <t>Peuplingues</t>
  </si>
  <si>
    <t>Pierremont</t>
  </si>
  <si>
    <t>Pihen-lès-Guînes</t>
  </si>
  <si>
    <t>Plouvain</t>
  </si>
  <si>
    <t>Pommera</t>
  </si>
  <si>
    <t>Le Portel</t>
  </si>
  <si>
    <t>Prédefin</t>
  </si>
  <si>
    <t>Pronville</t>
  </si>
  <si>
    <t>Quéant</t>
  </si>
  <si>
    <t>Quercamps</t>
  </si>
  <si>
    <t>Quernes</t>
  </si>
  <si>
    <t>Quesques</t>
  </si>
  <si>
    <t>Quiéry-la-Motte</t>
  </si>
  <si>
    <t>Quilen</t>
  </si>
  <si>
    <t>Quoeux-Haut-Mainil</t>
  </si>
  <si>
    <t>Ramecourt</t>
  </si>
  <si>
    <t>Rebergues</t>
  </si>
  <si>
    <t>Rely</t>
  </si>
  <si>
    <t>Rémy</t>
  </si>
  <si>
    <t>Renty</t>
  </si>
  <si>
    <t>Rivière</t>
  </si>
  <si>
    <t>Rollancourt</t>
  </si>
  <si>
    <t>Rombly</t>
  </si>
  <si>
    <t>Roussent</t>
  </si>
  <si>
    <t>Rumaucourt</t>
  </si>
  <si>
    <t>Rumilly</t>
  </si>
  <si>
    <t>Ruyaulcourt</t>
  </si>
  <si>
    <t>Sailly-Labourse</t>
  </si>
  <si>
    <t>Sailly-sur-la-Lys</t>
  </si>
  <si>
    <t>Sains-en-Gohelle</t>
  </si>
  <si>
    <t>Sains-lès-Fressin</t>
  </si>
  <si>
    <t>Sains-lès-Marquion</t>
  </si>
  <si>
    <t>Sains-lès-Pernes</t>
  </si>
  <si>
    <t>Saint-Aubin</t>
  </si>
  <si>
    <t>Sainte-Austreberthe</t>
  </si>
  <si>
    <t>Sainte-Catherine</t>
  </si>
  <si>
    <t>Saint-Denoeux</t>
  </si>
  <si>
    <t>Saint-Étienne-au-Mont</t>
  </si>
  <si>
    <t>Saint-Floris</t>
  </si>
  <si>
    <t>Saint-Folquin</t>
  </si>
  <si>
    <t>Saint-Hilaire-Cottes</t>
  </si>
  <si>
    <t>Saint-Inglevert</t>
  </si>
  <si>
    <t>Saint-Josse</t>
  </si>
  <si>
    <t>Saint-Laurent-Blangy</t>
  </si>
  <si>
    <t>Saint-Martin-au-Laërt</t>
  </si>
  <si>
    <t>Saint-Tricat</t>
  </si>
  <si>
    <t>Sallaumines</t>
  </si>
  <si>
    <t>Salperwick</t>
  </si>
  <si>
    <t>Sangatte</t>
  </si>
  <si>
    <t>Sapignies</t>
  </si>
  <si>
    <t>Sars-le-Bois</t>
  </si>
  <si>
    <t>Saudemont</t>
  </si>
  <si>
    <t>Selles</t>
  </si>
  <si>
    <t>Séricourt</t>
  </si>
  <si>
    <t>Setques</t>
  </si>
  <si>
    <t>Sibiville</t>
  </si>
  <si>
    <t>Simencourt</t>
  </si>
  <si>
    <t>Sus-Saint-Léger</t>
  </si>
  <si>
    <t>Tardinghen</t>
  </si>
  <si>
    <t>Teneur</t>
  </si>
  <si>
    <t>Thélus</t>
  </si>
  <si>
    <t>Thièvres</t>
  </si>
  <si>
    <t>Tilloy-lès-Mofflaines</t>
  </si>
  <si>
    <t>Tilques</t>
  </si>
  <si>
    <t>Torcy</t>
  </si>
  <si>
    <t>Tortequesne</t>
  </si>
  <si>
    <t>Tramecourt</t>
  </si>
  <si>
    <t>Valhuon</t>
  </si>
  <si>
    <t>Vaulx-Vraucourt</t>
  </si>
  <si>
    <t>Vendin-lès-Béthune</t>
  </si>
  <si>
    <t>Vendin-le-Vieil</t>
  </si>
  <si>
    <t>Verchocq</t>
  </si>
  <si>
    <t>Verquigneul</t>
  </si>
  <si>
    <t>Vieil-Hesdin</t>
  </si>
  <si>
    <t>Vieille-Église</t>
  </si>
  <si>
    <t>Villers-au-Flos</t>
  </si>
  <si>
    <t>Vincly</t>
  </si>
  <si>
    <t>Vis-en-Artois</t>
  </si>
  <si>
    <t>Wacquinghen</t>
  </si>
  <si>
    <t>Wanquetin</t>
  </si>
  <si>
    <t>Le Wast</t>
  </si>
  <si>
    <t>Wavrans-sur-Ternoise</t>
  </si>
  <si>
    <t>Willeman</t>
  </si>
  <si>
    <t>Willencourt</t>
  </si>
  <si>
    <t>Wimille</t>
  </si>
  <si>
    <t>Wingles</t>
  </si>
  <si>
    <t>Wirwignes</t>
  </si>
  <si>
    <t>Wisques</t>
  </si>
  <si>
    <t>Wizernes</t>
  </si>
  <si>
    <t>Libercourt</t>
  </si>
  <si>
    <t>P269720</t>
  </si>
  <si>
    <t>P881395</t>
  </si>
  <si>
    <t>P815454</t>
  </si>
  <si>
    <t>P764926</t>
  </si>
  <si>
    <t>P542667</t>
  </si>
  <si>
    <t>P181935</t>
  </si>
  <si>
    <t>P141741</t>
  </si>
  <si>
    <t>P749461</t>
  </si>
  <si>
    <t>P469126</t>
  </si>
  <si>
    <t>P646047</t>
  </si>
  <si>
    <t>Fichier contenant une macro exportant les tableaux en SQL</t>
  </si>
  <si>
    <t>Les noms de tableau servent de nom de table</t>
  </si>
  <si>
    <t>Les colonnes commençant par 1 sont considérées comme INTEGER avec AUTOINCREMENT</t>
  </si>
  <si>
    <t>les dates sont formatées en aaaa-mm-jj</t>
  </si>
  <si>
    <t>pour ensuite être importé dans SQLite DB Browser ou dans une base Mysql</t>
  </si>
  <si>
    <t>Les apostrophes des cellules sont « échappées »</t>
  </si>
  <si>
    <t>les cellules vides sont mise à Null</t>
  </si>
  <si>
    <t>L’export se fait en UTF-8</t>
  </si>
  <si>
    <t>Vous devez choisir un fichier vide (.txt ou .sql)</t>
  </si>
  <si>
    <t>Une fois le choix effectué l'emplacement est réutilisé tant que le fichier est ouvert</t>
  </si>
  <si>
    <t xml:space="preserve">Créé par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</si>
</sst>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22"/>
      <color theme="1"/>
      <name val="Calibri"/>
      <family val="2"/>
      <scheme val="minor"/>
    </font>
    <font>
      <i/>
      <sz val="2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49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4"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https://www.linkedin.com/in/francois-parlant/" TargetMode="External"/><Relationship Id="rId4" Type="http://schemas.openxmlformats.org/officeDocument/2006/relationships/hyperlink" Target="https://www.youtube.com/c/enparlantdebureautiqueformezvous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830580</xdr:colOff>
      <xdr:row>10</xdr:row>
      <xdr:rowOff>135255</xdr:rowOff>
    </xdr:from>
    <xdr:to>
      <xdr:col>1</xdr:col>
      <xdr:colOff>691515</xdr:colOff>
      <xdr:row>11</xdr:row>
      <xdr:rowOff>281940</xdr:rowOff>
    </xdr:to>
    <xdr:sp macro="[0]!exportSQ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EF47E76-DD24-7A4B-56A0-8E45CB628DA2}"/>
            </a:ext>
          </a:extLst>
        </xdr:cNvPr>
        <xdr:cNvSpPr/>
      </xdr:nvSpPr>
      <xdr:spPr>
        <a:xfrm>
          <a:off x="830580" y="3754755"/>
          <a:ext cx="1442085" cy="508635"/>
        </a:xfrm>
        <a:prstGeom prst="roundRect">
          <a:avLst/>
        </a:prstGeom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Export SQL</a:t>
          </a:r>
        </a:p>
      </xdr:txBody>
    </xdr:sp>
    <xdr:clientData/>
  </xdr:twoCellAnchor>
  <xdr:twoCellAnchor>
    <xdr:from>
      <xdr:col>0</xdr:col>
      <xdr:colOff>1562100</xdr:colOff>
      <xdr:row>15</xdr:row>
      <xdr:rowOff>342900</xdr:rowOff>
    </xdr:from>
    <xdr:to>
      <xdr:col>2</xdr:col>
      <xdr:colOff>160020</xdr:colOff>
      <xdr:row>16</xdr:row>
      <xdr:rowOff>342900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25DCBD02-289B-428A-9F66-DBFDE14B193F}"/>
            </a:ext>
          </a:extLst>
        </xdr:cNvPr>
        <xdr:cNvSpPr/>
      </xdr:nvSpPr>
      <xdr:spPr>
        <a:xfrm>
          <a:off x="1562100" y="5772150"/>
          <a:ext cx="176022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fr-FR" sz="1400" b="1">
              <a:solidFill>
                <a:srgbClr val="7030A0"/>
              </a:solidFill>
              <a:latin typeface="Dotum" panose="020B0600000101010101" pitchFamily="34" charset="-127"/>
              <a:ea typeface="Dotum" panose="020B0600000101010101" pitchFamily="34" charset="-127"/>
              <a:cs typeface="Aldhabi" panose="01000000000000000000" pitchFamily="2" charset="-78"/>
            </a:rPr>
            <a:t>François PARLANT</a:t>
          </a:r>
        </a:p>
      </xdr:txBody>
    </xdr:sp>
    <xdr:clientData/>
  </xdr:twoCellAnchor>
  <xdr:twoCellAnchor editAs="oneCell">
    <xdr:from>
      <xdr:col>2</xdr:col>
      <xdr:colOff>446165</xdr:colOff>
      <xdr:row>16</xdr:row>
      <xdr:rowOff>76719</xdr:rowOff>
    </xdr:from>
    <xdr:to>
      <xdr:col>2</xdr:col>
      <xdr:colOff>655493</xdr:colOff>
      <xdr:row>16</xdr:row>
      <xdr:rowOff>287199</xdr:rowOff>
    </xdr:to>
    <xdr:pic>
      <xdr:nvPicPr>
        <xdr:cNvPr id="4" name="Graphiqu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DCF942-095F-4081-B819-DEBE80DB6A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 l="74509"/>
        <a:stretch/>
      </xdr:blipFill>
      <xdr:spPr>
        <a:xfrm>
          <a:off x="3608465" y="5867919"/>
          <a:ext cx="209328" cy="210480"/>
        </a:xfrm>
        <a:prstGeom prst="rect">
          <a:avLst/>
        </a:prstGeom>
      </xdr:spPr>
    </xdr:pic>
    <xdr:clientData/>
  </xdr:twoCellAnchor>
  <xdr:twoCellAnchor>
    <xdr:from>
      <xdr:col>2</xdr:col>
      <xdr:colOff>68580</xdr:colOff>
      <xdr:row>16</xdr:row>
      <xdr:rowOff>83820</xdr:rowOff>
    </xdr:from>
    <xdr:to>
      <xdr:col>2</xdr:col>
      <xdr:colOff>342381</xdr:colOff>
      <xdr:row>16</xdr:row>
      <xdr:rowOff>277826</xdr:rowOff>
    </xdr:to>
    <xdr:sp macro="" textlink="">
      <xdr:nvSpPr>
        <xdr:cNvPr id="5" name="Forme libre : form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458271B-35E4-484E-8C9A-1CCCF3AD8D1E}"/>
            </a:ext>
          </a:extLst>
        </xdr:cNvPr>
        <xdr:cNvSpPr/>
      </xdr:nvSpPr>
      <xdr:spPr>
        <a:xfrm>
          <a:off x="3230880" y="5875020"/>
          <a:ext cx="273801" cy="194006"/>
        </a:xfrm>
        <a:custGeom>
          <a:avLst/>
          <a:gdLst>
            <a:gd name="connsiteX0" fmla="*/ 594207 w 1485193"/>
            <a:gd name="connsiteY0" fmla="*/ 297180 h 1040130"/>
            <a:gd name="connsiteX1" fmla="*/ 594207 w 1485193"/>
            <a:gd name="connsiteY1" fmla="*/ 742950 h 1040130"/>
            <a:gd name="connsiteX2" fmla="*/ 979021 w 1485193"/>
            <a:gd name="connsiteY2" fmla="*/ 520065 h 1040130"/>
            <a:gd name="connsiteX3" fmla="*/ 741845 w 1485193"/>
            <a:gd name="connsiteY3" fmla="*/ 0 h 1040130"/>
            <a:gd name="connsiteX4" fmla="*/ 1320971 w 1485193"/>
            <a:gd name="connsiteY4" fmla="*/ 31433 h 1040130"/>
            <a:gd name="connsiteX5" fmla="*/ 1452418 w 1485193"/>
            <a:gd name="connsiteY5" fmla="*/ 162878 h 1040130"/>
            <a:gd name="connsiteX6" fmla="*/ 1453370 w 1485193"/>
            <a:gd name="connsiteY6" fmla="*/ 877253 h 1040130"/>
            <a:gd name="connsiteX7" fmla="*/ 1321924 w 1485193"/>
            <a:gd name="connsiteY7" fmla="*/ 1008698 h 1040130"/>
            <a:gd name="connsiteX8" fmla="*/ 742798 w 1485193"/>
            <a:gd name="connsiteY8" fmla="*/ 1040130 h 1040130"/>
            <a:gd name="connsiteX9" fmla="*/ 163672 w 1485193"/>
            <a:gd name="connsiteY9" fmla="*/ 1008698 h 1040130"/>
            <a:gd name="connsiteX10" fmla="*/ 32226 w 1485193"/>
            <a:gd name="connsiteY10" fmla="*/ 877253 h 1040130"/>
            <a:gd name="connsiteX11" fmla="*/ 31273 w 1485193"/>
            <a:gd name="connsiteY11" fmla="*/ 163830 h 1040130"/>
            <a:gd name="connsiteX12" fmla="*/ 162720 w 1485193"/>
            <a:gd name="connsiteY12" fmla="*/ 32385 h 1040130"/>
            <a:gd name="connsiteX13" fmla="*/ 741845 w 1485193"/>
            <a:gd name="connsiteY13" fmla="*/ 0 h 104013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485193" h="1040130">
              <a:moveTo>
                <a:pt x="594207" y="297180"/>
              </a:moveTo>
              <a:lnTo>
                <a:pt x="594207" y="742950"/>
              </a:lnTo>
              <a:lnTo>
                <a:pt x="979021" y="520065"/>
              </a:lnTo>
              <a:close/>
              <a:moveTo>
                <a:pt x="741845" y="0"/>
              </a:moveTo>
              <a:cubicBezTo>
                <a:pt x="741845" y="0"/>
                <a:pt x="1205718" y="0"/>
                <a:pt x="1320971" y="31433"/>
              </a:cubicBezTo>
              <a:cubicBezTo>
                <a:pt x="1385037" y="48768"/>
                <a:pt x="1435082" y="98813"/>
                <a:pt x="1452418" y="162878"/>
              </a:cubicBezTo>
              <a:cubicBezTo>
                <a:pt x="1501472" y="360331"/>
                <a:pt x="1490137" y="672179"/>
                <a:pt x="1453370" y="877253"/>
              </a:cubicBezTo>
              <a:cubicBezTo>
                <a:pt x="1436034" y="941317"/>
                <a:pt x="1385989" y="991362"/>
                <a:pt x="1321924" y="1008698"/>
              </a:cubicBezTo>
              <a:cubicBezTo>
                <a:pt x="1206670" y="1040130"/>
                <a:pt x="742798" y="1040130"/>
                <a:pt x="742798" y="1040130"/>
              </a:cubicBezTo>
              <a:cubicBezTo>
                <a:pt x="742798" y="1040130"/>
                <a:pt x="278926" y="1040130"/>
                <a:pt x="163672" y="1008698"/>
              </a:cubicBezTo>
              <a:cubicBezTo>
                <a:pt x="99607" y="991362"/>
                <a:pt x="49562" y="941317"/>
                <a:pt x="32226" y="877253"/>
              </a:cubicBezTo>
              <a:cubicBezTo>
                <a:pt x="-17114" y="680657"/>
                <a:pt x="-3589" y="368618"/>
                <a:pt x="31273" y="163830"/>
              </a:cubicBezTo>
              <a:cubicBezTo>
                <a:pt x="48609" y="99765"/>
                <a:pt x="98654" y="49721"/>
                <a:pt x="162720" y="32385"/>
              </a:cubicBezTo>
              <a:cubicBezTo>
                <a:pt x="277973" y="952"/>
                <a:pt x="741845" y="0"/>
                <a:pt x="741845" y="0"/>
              </a:cubicBezTo>
              <a:close/>
            </a:path>
          </a:pathLst>
        </a:custGeom>
        <a:solidFill>
          <a:srgbClr val="7030A0"/>
        </a:solidFill>
        <a:ln w="3098" cap="flat">
          <a:noFill/>
          <a:prstDash val="solid"/>
          <a:miter/>
        </a:ln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fr-FR">
            <a:solidFill>
              <a:srgbClr val="7030A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01F4483-921C-47B8-90F9-BE8DA9D415C2}" name="SALARIES" displayName="SALARIES" ref="A1:D39" totalsRowShown="0">
  <autoFilter ref="A1:D39" xr:uid="{433B1889-ED50-4A1D-97F8-3CBCD0E97A24}"/>
  <tableColumns count="4">
    <tableColumn id="1" xr3:uid="{E5F3FE26-5D15-4F66-83C4-0773F784068A}" name="NumSal"/>
    <tableColumn id="2" xr3:uid="{61AD7BB3-5288-421B-A803-F933220A8A0C}" name="NomSal"/>
    <tableColumn id="3" xr3:uid="{5DC2319C-9343-49E5-8063-CFC43F87D9B6}" name="PrenomSal"/>
    <tableColumn id="4" xr3:uid="{DA115EE9-F43A-456C-8EF4-AE54AEDAD923}" name="DateNaissSal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68ACC1-FA6D-442F-B8BD-8DFB8BFD27B8}" name="CHAUFFEURS" displayName="CHAUFFEURS" ref="A1:C11" totalsRowShown="0">
  <autoFilter ref="A1:C11" xr:uid="{5977166A-5996-4674-B5F2-2FE419A60095}"/>
  <tableColumns count="3">
    <tableColumn id="1" xr3:uid="{87BC068B-2652-4705-95CC-FFC11B3C3E38}" name="NumPermisPL"/>
    <tableColumn id="2" xr3:uid="{06BEFC49-5615-46F4-87FC-BDD5D61C88E6}" name="DateObtention" dataDxfId="2"/>
    <tableColumn id="3" xr3:uid="{0FA6ED8F-46ED-480F-9E9C-0BE383610FDE}" name="DateVisiteMed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40EE3D-8464-48E5-B641-304A66CA83B6}" name="VEHICULE" displayName="VEHICULE" ref="A1:D2" totalsRowShown="0">
  <autoFilter ref="A1:D2" xr:uid="{192BD2A6-5145-419A-B11D-712947913E88}"/>
  <tableColumns count="4">
    <tableColumn id="1" xr3:uid="{35A2A8E2-AC80-43F0-830A-912C47AFEE48}" name="NumImmat">
      <calculatedColumnFormula>CHAR(RANDBETWEEN(65,90))&amp;CHAR(RANDBETWEEN(65,90))&amp;"-"&amp;RANDBETWEEN(100,999)&amp;"-"&amp;CHAR(RANDBETWEEN(65,90))&amp;CHAR(RANDBETWEEN(65,90))</calculatedColumnFormula>
    </tableColumn>
    <tableColumn id="2" xr3:uid="{7B2CC800-B588-44C4-9026-95BE9FB85274}" name="NbEssieu">
      <calculatedColumnFormula>RANDBETWEEN(2,5)</calculatedColumnFormula>
    </tableColumn>
    <tableColumn id="3" xr3:uid="{0595FBE2-35CF-41E2-988C-3BC5EA4D0120}" name="Volume">
      <calculatedColumnFormula>CHOOSE(VEHICULE[[#This Row],[NbEssieu]],0,20,40,50,90)</calculatedColumnFormula>
    </tableColumn>
    <tableColumn id="4" xr3:uid="{20C59D99-1214-4940-B079-A4F3676259BF}" name="PTRA">
      <calculatedColumnFormula>CHOOSE(VEHICULE[[#This Row],[NbEssieu]],0,19,26,32,44)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BAE5167-4CE7-4529-B38A-F2A707563BA5}" name="TOURNÉES" displayName="TOURNÉES" ref="A1:C4" totalsRowShown="0">
  <autoFilter ref="A1:C4" xr:uid="{AA0A58F0-928B-445E-96AE-92096BB42E0D}"/>
  <tableColumns count="3">
    <tableColumn id="1" xr3:uid="{F59D898F-7ECE-4D42-AD12-956BD70B0A39}" name="CodeTourn"/>
    <tableColumn id="2" xr3:uid="{35FB9590-63DB-4B2F-85DA-273DB0874A72}" name="DuréeEstim"/>
    <tableColumn id="3" xr3:uid="{AAC11D47-467C-4021-A804-7A90FA15A7F5}" name="NbKMTheo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03813E-2354-4F67-B2EF-AF7A1E9A828F}" name="ENTREPOTS" displayName="ENTREPOTS" ref="A1:G4" totalsRowShown="0">
  <autoFilter ref="A1:G4" xr:uid="{64E0D4C7-C4E8-439E-AD65-1BFCDA467196}"/>
  <tableColumns count="7">
    <tableColumn id="1" xr3:uid="{C9116C09-DFDE-4352-9428-1F9E5185D214}" name="CodeEnt"/>
    <tableColumn id="2" xr3:uid="{90F75869-B135-4192-B4B4-99299C66721D}" name="AdresseRueEnt"/>
    <tableColumn id="3" xr3:uid="{5465E78D-A928-4BC7-875A-AF2BEAFBEC28}" name="AdresseCPEnt"/>
    <tableColumn id="4" xr3:uid="{95FD211F-355E-4B94-89D4-66D209FA3C62}" name="AdresseVilleEnt"/>
    <tableColumn id="5" xr3:uid="{3A874F2D-DED3-4469-B329-71DEFD06BE5A}" name="GPSLatEnt"/>
    <tableColumn id="6" xr3:uid="{0A478454-1A0B-476C-A17F-99F813ED50E4}" name="GPSLongEnt"/>
    <tableColumn id="7" xr3:uid="{471CCA61-4144-4032-B826-CE724D8038B6}" name="Surfac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B0F2291-6C00-43A9-ADEF-A83C4CA1F13A}" name="Tableau6" displayName="Tableau6" ref="A1:H399" totalsRowShown="0">
  <autoFilter ref="A1:H399" xr:uid="{9A5D13C8-B312-472C-A222-91A5089BD6E0}"/>
  <tableColumns count="8">
    <tableColumn id="1" xr3:uid="{7F561547-7C06-4360-BDCB-D82CA1F7B53A}" name="CodePDL" dataDxfId="0"/>
    <tableColumn id="2" xr3:uid="{98A91F04-6E3C-4417-A224-BA4F13CBE692}" name="RaisonSociale"/>
    <tableColumn id="3" xr3:uid="{26D7DA06-CADD-4595-B46F-F98C4E69EB95}" name="AdresseRuePDL"/>
    <tableColumn id="8" xr3:uid="{383E0C90-182D-4D8C-A5AD-5BF09B6D5A45}" name="AdresseVillePDL"/>
    <tableColumn id="4" xr3:uid="{159848A9-8183-405E-966D-ECF905B7783C}" name="AdresseCPPDL"/>
    <tableColumn id="5" xr3:uid="{4B3DBE4A-23A6-4BF2-8C1A-31C6A89FB444}" name="GPSLatPDL"/>
    <tableColumn id="6" xr3:uid="{169C5CA8-E5EB-439C-A537-D2F674A19252}" name="GPSLongPDL"/>
    <tableColumn id="7" xr3:uid="{E5AB70EF-502B-4200-A524-6A275103B196}" name="TéléphonePD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8F4A5E6-6034-41B3-A614-32C21023F054}" name="Tableau9" displayName="Tableau9" ref="A1:C2" insertRow="1" totalsRowShown="0">
  <autoFilter ref="A1:C2" xr:uid="{70DB14FF-242E-45FB-A464-FFC793B5F49B}"/>
  <tableColumns count="3">
    <tableColumn id="1" xr3:uid="{597A4344-6C79-449E-A649-07508B841849}" name="#NumSalChauffeur"/>
    <tableColumn id="2" xr3:uid="{B28AB899-0663-4D1D-9E64-1962B74209E8}" name="#DateJour"/>
    <tableColumn id="3" xr3:uid="{6F2E9E61-CE34-4A04-B116-247C4C42C3EB}" name="#NumImma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86BB0E1-BB17-4110-9C4A-365160A7B03B}" name="Tableau10" displayName="Tableau10" ref="A1:C2" insertRow="1" totalsRowShown="0">
  <autoFilter ref="A1:C2" xr:uid="{8BB1E490-C37D-4974-B420-0F6649A2EED1}"/>
  <tableColumns count="3">
    <tableColumn id="1" xr3:uid="{DFA3C254-C568-438D-92E3-C6040BF4498F}" name="#NumSalChauf"/>
    <tableColumn id="2" xr3:uid="{FE85086C-6C74-4CEA-821C-969216F73D0A}" name="#DateJour"/>
    <tableColumn id="3" xr3:uid="{2238E2AA-256D-4E95-AB72-9467A9445CC9}" name="#CodeTour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D9CF9-0FF3-43D9-B02C-5D20D4F2EBF8}">
  <sheetPr codeName="Feuil3"/>
  <dimension ref="A2:B16"/>
  <sheetViews>
    <sheetView showGridLines="0" tabSelected="1" workbookViewId="0">
      <selection activeCell="E7" sqref="E7"/>
    </sheetView>
  </sheetViews>
  <sheetFormatPr baseColWidth="10" defaultRowHeight="28.8" x14ac:dyDescent="0.55000000000000004"/>
  <sheetData>
    <row r="2" spans="1:2" x14ac:dyDescent="0.55000000000000004">
      <c r="A2" s="4" t="s">
        <v>749</v>
      </c>
    </row>
    <row r="3" spans="1:2" x14ac:dyDescent="0.55000000000000004">
      <c r="A3" s="4" t="s">
        <v>753</v>
      </c>
    </row>
    <row r="5" spans="1:2" x14ac:dyDescent="0.55000000000000004">
      <c r="B5" t="s">
        <v>750</v>
      </c>
    </row>
    <row r="6" spans="1:2" x14ac:dyDescent="0.55000000000000004">
      <c r="B6" t="s">
        <v>751</v>
      </c>
    </row>
    <row r="7" spans="1:2" x14ac:dyDescent="0.55000000000000004">
      <c r="B7" t="s">
        <v>752</v>
      </c>
    </row>
    <row r="8" spans="1:2" x14ac:dyDescent="0.55000000000000004">
      <c r="B8" t="s">
        <v>754</v>
      </c>
    </row>
    <row r="9" spans="1:2" x14ac:dyDescent="0.55000000000000004">
      <c r="B9" t="s">
        <v>755</v>
      </c>
    </row>
    <row r="10" spans="1:2" x14ac:dyDescent="0.55000000000000004">
      <c r="B10" t="s">
        <v>756</v>
      </c>
    </row>
    <row r="13" spans="1:2" x14ac:dyDescent="0.55000000000000004">
      <c r="B13" s="3" t="s">
        <v>757</v>
      </c>
    </row>
    <row r="14" spans="1:2" x14ac:dyDescent="0.55000000000000004">
      <c r="B14" s="3" t="s">
        <v>758</v>
      </c>
    </row>
    <row r="16" spans="1:2" x14ac:dyDescent="0.55000000000000004">
      <c r="B16" t="s">
        <v>759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F322B-00D7-42CE-B1D0-1E4BFC73C948}">
  <sheetPr codeName="Feuil1"/>
  <dimension ref="A1:G39"/>
  <sheetViews>
    <sheetView workbookViewId="0">
      <selection activeCell="A3" sqref="A3:A39"/>
    </sheetView>
  </sheetViews>
  <sheetFormatPr baseColWidth="10" defaultRowHeight="28.8" x14ac:dyDescent="0.55000000000000004"/>
  <cols>
    <col min="4" max="4" width="11.62890625" customWidth="1"/>
  </cols>
  <sheetData>
    <row r="1" spans="1:7" x14ac:dyDescent="0.55000000000000004">
      <c r="A1" t="s">
        <v>0</v>
      </c>
      <c r="B1" t="s">
        <v>1</v>
      </c>
      <c r="C1" t="s">
        <v>2</v>
      </c>
      <c r="D1" t="s">
        <v>3</v>
      </c>
      <c r="F1" s="1"/>
      <c r="G1" s="1"/>
    </row>
    <row r="2" spans="1:7" x14ac:dyDescent="0.55000000000000004">
      <c r="A2">
        <v>1</v>
      </c>
      <c r="B2" t="s">
        <v>34</v>
      </c>
      <c r="C2" t="s">
        <v>35</v>
      </c>
      <c r="D2" s="1">
        <v>32161</v>
      </c>
    </row>
    <row r="3" spans="1:7" x14ac:dyDescent="0.55000000000000004">
      <c r="A3">
        <v>2</v>
      </c>
      <c r="B3" t="s">
        <v>36</v>
      </c>
      <c r="C3" t="s">
        <v>37</v>
      </c>
      <c r="D3" s="1">
        <v>32298</v>
      </c>
    </row>
    <row r="4" spans="1:7" x14ac:dyDescent="0.55000000000000004">
      <c r="A4">
        <v>3</v>
      </c>
      <c r="B4" t="s">
        <v>38</v>
      </c>
      <c r="C4" t="s">
        <v>39</v>
      </c>
      <c r="D4" s="1">
        <v>33536</v>
      </c>
    </row>
    <row r="5" spans="1:7" x14ac:dyDescent="0.55000000000000004">
      <c r="A5">
        <v>4</v>
      </c>
      <c r="B5" t="s">
        <v>40</v>
      </c>
      <c r="C5" t="s">
        <v>41</v>
      </c>
      <c r="D5" s="1">
        <v>29806</v>
      </c>
    </row>
    <row r="6" spans="1:7" x14ac:dyDescent="0.55000000000000004">
      <c r="A6">
        <v>5</v>
      </c>
      <c r="B6" t="s">
        <v>42</v>
      </c>
      <c r="C6" t="s">
        <v>43</v>
      </c>
      <c r="D6" s="1">
        <v>33870</v>
      </c>
    </row>
    <row r="7" spans="1:7" x14ac:dyDescent="0.55000000000000004">
      <c r="A7">
        <v>6</v>
      </c>
      <c r="B7" t="s">
        <v>44</v>
      </c>
      <c r="C7" t="s">
        <v>45</v>
      </c>
      <c r="D7" s="1">
        <v>35756</v>
      </c>
    </row>
    <row r="8" spans="1:7" x14ac:dyDescent="0.55000000000000004">
      <c r="A8">
        <v>7</v>
      </c>
      <c r="B8" t="s">
        <v>46</v>
      </c>
      <c r="C8" t="s">
        <v>47</v>
      </c>
      <c r="D8" s="1">
        <v>30774</v>
      </c>
    </row>
    <row r="9" spans="1:7" x14ac:dyDescent="0.55000000000000004">
      <c r="A9">
        <v>8</v>
      </c>
      <c r="B9" t="s">
        <v>48</v>
      </c>
      <c r="C9" t="s">
        <v>49</v>
      </c>
      <c r="D9" s="1">
        <v>30576</v>
      </c>
    </row>
    <row r="10" spans="1:7" x14ac:dyDescent="0.55000000000000004">
      <c r="A10">
        <v>9</v>
      </c>
      <c r="B10" t="s">
        <v>40</v>
      </c>
      <c r="C10" t="s">
        <v>50</v>
      </c>
      <c r="D10" s="1">
        <v>33666</v>
      </c>
    </row>
    <row r="11" spans="1:7" x14ac:dyDescent="0.55000000000000004">
      <c r="A11">
        <v>10</v>
      </c>
      <c r="B11" t="s">
        <v>51</v>
      </c>
      <c r="C11" t="s">
        <v>52</v>
      </c>
      <c r="D11" s="1">
        <v>35274</v>
      </c>
    </row>
    <row r="12" spans="1:7" x14ac:dyDescent="0.55000000000000004">
      <c r="A12">
        <v>11</v>
      </c>
      <c r="B12" t="s">
        <v>53</v>
      </c>
      <c r="C12" t="s">
        <v>54</v>
      </c>
      <c r="D12" s="1">
        <v>31355</v>
      </c>
    </row>
    <row r="13" spans="1:7" x14ac:dyDescent="0.55000000000000004">
      <c r="A13">
        <v>12</v>
      </c>
      <c r="B13" t="s">
        <v>55</v>
      </c>
      <c r="C13" t="s">
        <v>56</v>
      </c>
      <c r="D13" s="1">
        <v>34216</v>
      </c>
    </row>
    <row r="14" spans="1:7" x14ac:dyDescent="0.55000000000000004">
      <c r="A14">
        <v>13</v>
      </c>
      <c r="B14" t="s">
        <v>57</v>
      </c>
      <c r="C14" t="s">
        <v>58</v>
      </c>
      <c r="D14" s="1">
        <v>35037</v>
      </c>
    </row>
    <row r="15" spans="1:7" x14ac:dyDescent="0.55000000000000004">
      <c r="A15">
        <v>14</v>
      </c>
      <c r="B15" t="s">
        <v>59</v>
      </c>
      <c r="C15" t="s">
        <v>60</v>
      </c>
      <c r="D15" s="1">
        <v>31566</v>
      </c>
    </row>
    <row r="16" spans="1:7" x14ac:dyDescent="0.55000000000000004">
      <c r="A16">
        <v>15</v>
      </c>
      <c r="B16" t="s">
        <v>61</v>
      </c>
      <c r="C16" t="s">
        <v>62</v>
      </c>
      <c r="D16" s="1">
        <v>36098</v>
      </c>
    </row>
    <row r="17" spans="1:4" x14ac:dyDescent="0.55000000000000004">
      <c r="A17">
        <v>16</v>
      </c>
      <c r="B17" t="s">
        <v>53</v>
      </c>
      <c r="C17" t="s">
        <v>63</v>
      </c>
      <c r="D17" s="1">
        <v>36336</v>
      </c>
    </row>
    <row r="18" spans="1:4" x14ac:dyDescent="0.55000000000000004">
      <c r="A18">
        <v>17</v>
      </c>
      <c r="B18" t="s">
        <v>48</v>
      </c>
      <c r="C18" t="s">
        <v>64</v>
      </c>
      <c r="D18" s="1">
        <v>34144</v>
      </c>
    </row>
    <row r="19" spans="1:4" x14ac:dyDescent="0.55000000000000004">
      <c r="A19">
        <v>18</v>
      </c>
      <c r="B19" t="s">
        <v>65</v>
      </c>
      <c r="C19" t="s">
        <v>66</v>
      </c>
      <c r="D19" s="1">
        <v>31979</v>
      </c>
    </row>
    <row r="20" spans="1:4" x14ac:dyDescent="0.55000000000000004">
      <c r="A20">
        <v>19</v>
      </c>
      <c r="B20" t="s">
        <v>40</v>
      </c>
      <c r="C20" t="s">
        <v>67</v>
      </c>
      <c r="D20" s="1">
        <v>33316</v>
      </c>
    </row>
    <row r="21" spans="1:4" x14ac:dyDescent="0.55000000000000004">
      <c r="A21">
        <v>20</v>
      </c>
      <c r="B21" t="s">
        <v>51</v>
      </c>
      <c r="C21" t="s">
        <v>68</v>
      </c>
      <c r="D21" s="1">
        <v>30178</v>
      </c>
    </row>
    <row r="22" spans="1:4" x14ac:dyDescent="0.55000000000000004">
      <c r="A22">
        <v>21</v>
      </c>
      <c r="B22" t="s">
        <v>69</v>
      </c>
      <c r="C22" t="s">
        <v>70</v>
      </c>
      <c r="D22" s="1">
        <v>35686</v>
      </c>
    </row>
    <row r="23" spans="1:4" x14ac:dyDescent="0.55000000000000004">
      <c r="A23">
        <v>22</v>
      </c>
      <c r="B23" t="s">
        <v>48</v>
      </c>
      <c r="C23" t="s">
        <v>71</v>
      </c>
      <c r="D23" s="1">
        <v>34327</v>
      </c>
    </row>
    <row r="24" spans="1:4" x14ac:dyDescent="0.55000000000000004">
      <c r="A24">
        <v>23</v>
      </c>
      <c r="B24" t="s">
        <v>34</v>
      </c>
      <c r="C24" t="s">
        <v>72</v>
      </c>
      <c r="D24" s="1">
        <v>31053</v>
      </c>
    </row>
    <row r="25" spans="1:4" x14ac:dyDescent="0.55000000000000004">
      <c r="A25">
        <v>24</v>
      </c>
      <c r="B25" t="s">
        <v>44</v>
      </c>
      <c r="C25" t="s">
        <v>73</v>
      </c>
      <c r="D25" s="1">
        <v>35278</v>
      </c>
    </row>
    <row r="26" spans="1:4" x14ac:dyDescent="0.55000000000000004">
      <c r="A26">
        <v>25</v>
      </c>
      <c r="B26" t="s">
        <v>74</v>
      </c>
      <c r="C26" t="s">
        <v>75</v>
      </c>
      <c r="D26" s="1">
        <v>29923</v>
      </c>
    </row>
    <row r="27" spans="1:4" x14ac:dyDescent="0.55000000000000004">
      <c r="A27">
        <v>26</v>
      </c>
      <c r="B27" t="s">
        <v>48</v>
      </c>
      <c r="C27" t="s">
        <v>76</v>
      </c>
      <c r="D27" s="1">
        <v>34582</v>
      </c>
    </row>
    <row r="28" spans="1:4" x14ac:dyDescent="0.55000000000000004">
      <c r="A28">
        <v>27</v>
      </c>
      <c r="B28" t="s">
        <v>69</v>
      </c>
      <c r="C28" t="s">
        <v>77</v>
      </c>
      <c r="D28" s="1">
        <v>30013</v>
      </c>
    </row>
    <row r="29" spans="1:4" x14ac:dyDescent="0.55000000000000004">
      <c r="A29">
        <v>28</v>
      </c>
      <c r="B29" t="s">
        <v>69</v>
      </c>
      <c r="C29" t="s">
        <v>78</v>
      </c>
      <c r="D29" s="1">
        <v>36032</v>
      </c>
    </row>
    <row r="30" spans="1:4" x14ac:dyDescent="0.55000000000000004">
      <c r="A30">
        <v>29</v>
      </c>
      <c r="B30" t="s">
        <v>53</v>
      </c>
      <c r="C30" t="s">
        <v>79</v>
      </c>
      <c r="D30" s="1">
        <v>31111</v>
      </c>
    </row>
    <row r="31" spans="1:4" x14ac:dyDescent="0.55000000000000004">
      <c r="A31">
        <v>30</v>
      </c>
      <c r="B31" t="s">
        <v>42</v>
      </c>
      <c r="C31" t="s">
        <v>80</v>
      </c>
      <c r="D31" s="1">
        <v>30883</v>
      </c>
    </row>
    <row r="32" spans="1:4" x14ac:dyDescent="0.55000000000000004">
      <c r="A32">
        <v>31</v>
      </c>
      <c r="B32" t="s">
        <v>59</v>
      </c>
      <c r="C32" t="s">
        <v>81</v>
      </c>
      <c r="D32" s="1">
        <v>34307</v>
      </c>
    </row>
    <row r="33" spans="1:4" x14ac:dyDescent="0.55000000000000004">
      <c r="A33">
        <v>32</v>
      </c>
      <c r="B33" t="s">
        <v>48</v>
      </c>
      <c r="C33" t="s">
        <v>82</v>
      </c>
      <c r="D33" s="1">
        <v>33035</v>
      </c>
    </row>
    <row r="34" spans="1:4" x14ac:dyDescent="0.55000000000000004">
      <c r="A34">
        <v>33</v>
      </c>
      <c r="B34" t="s">
        <v>34</v>
      </c>
      <c r="C34" t="s">
        <v>83</v>
      </c>
      <c r="D34" s="1">
        <v>31172</v>
      </c>
    </row>
    <row r="35" spans="1:4" x14ac:dyDescent="0.55000000000000004">
      <c r="A35">
        <v>34</v>
      </c>
      <c r="B35" t="s">
        <v>84</v>
      </c>
      <c r="C35" t="s">
        <v>85</v>
      </c>
      <c r="D35" s="1">
        <v>35949</v>
      </c>
    </row>
    <row r="36" spans="1:4" x14ac:dyDescent="0.55000000000000004">
      <c r="A36">
        <v>35</v>
      </c>
      <c r="B36" t="s">
        <v>53</v>
      </c>
      <c r="C36" t="s">
        <v>86</v>
      </c>
      <c r="D36" s="1">
        <v>30080</v>
      </c>
    </row>
    <row r="37" spans="1:4" x14ac:dyDescent="0.55000000000000004">
      <c r="A37">
        <v>36</v>
      </c>
      <c r="B37" t="s">
        <v>87</v>
      </c>
      <c r="C37" t="s">
        <v>88</v>
      </c>
      <c r="D37" s="1">
        <v>29660</v>
      </c>
    </row>
    <row r="38" spans="1:4" x14ac:dyDescent="0.55000000000000004">
      <c r="A38">
        <v>37</v>
      </c>
      <c r="B38" t="s">
        <v>89</v>
      </c>
      <c r="C38" t="s">
        <v>90</v>
      </c>
      <c r="D38" s="1">
        <v>34645</v>
      </c>
    </row>
    <row r="39" spans="1:4" x14ac:dyDescent="0.55000000000000004">
      <c r="A39">
        <v>38</v>
      </c>
      <c r="B39" t="s">
        <v>84</v>
      </c>
      <c r="C39" t="s">
        <v>91</v>
      </c>
      <c r="D39" s="1">
        <v>32878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3429C-F4D2-4DC9-AA45-34CFAAAF19C6}">
  <sheetPr codeName="Feuil2"/>
  <dimension ref="A1:F11"/>
  <sheetViews>
    <sheetView workbookViewId="0">
      <selection activeCell="B5" sqref="B5"/>
    </sheetView>
  </sheetViews>
  <sheetFormatPr baseColWidth="10" defaultRowHeight="28.8" x14ac:dyDescent="0.55000000000000004"/>
  <cols>
    <col min="1" max="1" width="12.5234375" customWidth="1"/>
    <col min="2" max="2" width="13.41796875" customWidth="1"/>
    <col min="3" max="3" width="13.3125" customWidth="1"/>
  </cols>
  <sheetData>
    <row r="1" spans="1:6" x14ac:dyDescent="0.55000000000000004">
      <c r="A1" t="s">
        <v>4</v>
      </c>
      <c r="B1" t="s">
        <v>5</v>
      </c>
      <c r="C1" t="s">
        <v>6</v>
      </c>
      <c r="E1" s="1"/>
      <c r="F1" s="1"/>
    </row>
    <row r="2" spans="1:6" x14ac:dyDescent="0.55000000000000004">
      <c r="A2" t="s">
        <v>739</v>
      </c>
      <c r="B2" s="1">
        <v>41505</v>
      </c>
      <c r="C2" s="1">
        <v>42047</v>
      </c>
      <c r="E2" s="1"/>
      <c r="F2" s="1"/>
    </row>
    <row r="3" spans="1:6" x14ac:dyDescent="0.55000000000000004">
      <c r="A3" t="s">
        <v>740</v>
      </c>
      <c r="B3" s="1">
        <v>42194</v>
      </c>
      <c r="C3" s="1">
        <v>43100</v>
      </c>
    </row>
    <row r="4" spans="1:6" x14ac:dyDescent="0.55000000000000004">
      <c r="A4" t="s">
        <v>741</v>
      </c>
      <c r="B4" s="1">
        <v>40689</v>
      </c>
      <c r="C4" s="1">
        <v>42551</v>
      </c>
    </row>
    <row r="5" spans="1:6" x14ac:dyDescent="0.55000000000000004">
      <c r="A5" t="s">
        <v>742</v>
      </c>
      <c r="B5" s="1">
        <v>42080</v>
      </c>
      <c r="C5" s="1">
        <v>42953</v>
      </c>
    </row>
    <row r="6" spans="1:6" x14ac:dyDescent="0.55000000000000004">
      <c r="A6" t="s">
        <v>743</v>
      </c>
      <c r="B6" s="1">
        <v>42472</v>
      </c>
      <c r="C6" s="1">
        <v>40909</v>
      </c>
    </row>
    <row r="7" spans="1:6" x14ac:dyDescent="0.55000000000000004">
      <c r="A7" t="s">
        <v>744</v>
      </c>
      <c r="B7" s="1">
        <v>42446</v>
      </c>
      <c r="C7" s="1">
        <v>40966</v>
      </c>
    </row>
    <row r="8" spans="1:6" x14ac:dyDescent="0.55000000000000004">
      <c r="A8" t="s">
        <v>745</v>
      </c>
      <c r="B8" s="1">
        <v>41498</v>
      </c>
      <c r="C8" s="1">
        <v>41385</v>
      </c>
    </row>
    <row r="9" spans="1:6" x14ac:dyDescent="0.55000000000000004">
      <c r="A9" t="s">
        <v>746</v>
      </c>
      <c r="B9" s="1">
        <v>36889</v>
      </c>
      <c r="C9" s="1">
        <v>42466</v>
      </c>
    </row>
    <row r="10" spans="1:6" x14ac:dyDescent="0.55000000000000004">
      <c r="A10" t="s">
        <v>747</v>
      </c>
      <c r="B10" s="1">
        <v>37350</v>
      </c>
      <c r="C10" s="1">
        <v>41896</v>
      </c>
    </row>
    <row r="11" spans="1:6" x14ac:dyDescent="0.55000000000000004">
      <c r="A11" t="s">
        <v>748</v>
      </c>
      <c r="B11" s="1">
        <v>42830</v>
      </c>
      <c r="C11" s="1">
        <v>43013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EFBD1-1EDF-4DDE-BCCC-1727296F247C}">
  <sheetPr codeName="Feuil4"/>
  <dimension ref="A1:D7"/>
  <sheetViews>
    <sheetView workbookViewId="0">
      <selection activeCell="D7" sqref="D7"/>
    </sheetView>
  </sheetViews>
  <sheetFormatPr baseColWidth="10" defaultRowHeight="28.8" x14ac:dyDescent="0.55000000000000004"/>
  <sheetData>
    <row r="1" spans="1:4" x14ac:dyDescent="0.55000000000000004">
      <c r="A1" t="s">
        <v>7</v>
      </c>
      <c r="B1" t="s">
        <v>8</v>
      </c>
      <c r="C1" t="s">
        <v>9</v>
      </c>
      <c r="D1" t="s">
        <v>10</v>
      </c>
    </row>
    <row r="2" spans="1:4" x14ac:dyDescent="0.55000000000000004">
      <c r="A2" t="str">
        <f ca="1">CHAR(RANDBETWEEN(65,90))&amp;CHAR(RANDBETWEEN(65,90))&amp;"-"&amp;RANDBETWEEN(100,999)&amp;"-"&amp;CHAR(RANDBETWEEN(65,90))&amp;CHAR(RANDBETWEEN(65,90))</f>
        <v>VO-807-ZS</v>
      </c>
      <c r="B2">
        <f ca="1">RANDBETWEEN(2,5)</f>
        <v>3</v>
      </c>
      <c r="C2">
        <f ca="1">CHOOSE(VEHICULE[[#This Row],[NbEssieu]],0,20,40,50,90)</f>
        <v>40</v>
      </c>
      <c r="D2">
        <f ca="1">CHOOSE(VEHICULE[[#This Row],[NbEssieu]],0,19,26,32,44)</f>
        <v>26</v>
      </c>
    </row>
    <row r="7" spans="1:4" x14ac:dyDescent="0.55000000000000004">
      <c r="D7" s="2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D60FC-6657-4240-98E8-C0C64DCCE4C2}">
  <sheetPr codeName="Feuil5"/>
  <dimension ref="A1:C4"/>
  <sheetViews>
    <sheetView workbookViewId="0">
      <selection activeCell="C3" sqref="C3"/>
    </sheetView>
  </sheetViews>
  <sheetFormatPr baseColWidth="10" defaultRowHeight="28.8" x14ac:dyDescent="0.55000000000000004"/>
  <cols>
    <col min="3" max="3" width="11.05078125" customWidth="1"/>
  </cols>
  <sheetData>
    <row r="1" spans="1:3" x14ac:dyDescent="0.55000000000000004">
      <c r="A1" t="s">
        <v>11</v>
      </c>
      <c r="B1" t="s">
        <v>12</v>
      </c>
      <c r="C1" t="s">
        <v>13</v>
      </c>
    </row>
    <row r="2" spans="1:3" x14ac:dyDescent="0.55000000000000004">
      <c r="A2">
        <v>1</v>
      </c>
      <c r="B2">
        <v>180</v>
      </c>
      <c r="C2">
        <v>50</v>
      </c>
    </row>
    <row r="3" spans="1:3" x14ac:dyDescent="0.55000000000000004">
      <c r="A3">
        <v>2</v>
      </c>
      <c r="B3">
        <v>140</v>
      </c>
      <c r="C3">
        <v>35</v>
      </c>
    </row>
    <row r="4" spans="1:3" x14ac:dyDescent="0.55000000000000004">
      <c r="A4">
        <v>3</v>
      </c>
      <c r="B4">
        <v>60</v>
      </c>
      <c r="C4">
        <v>10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2097E-57CE-47C0-96D4-0DE5271371F8}">
  <sheetPr codeName="Feuil7"/>
  <dimension ref="A1:G4"/>
  <sheetViews>
    <sheetView workbookViewId="0">
      <selection activeCell="F10" sqref="F10"/>
    </sheetView>
  </sheetViews>
  <sheetFormatPr baseColWidth="10" defaultRowHeight="28.8" x14ac:dyDescent="0.55000000000000004"/>
  <cols>
    <col min="2" max="2" width="13.578125" customWidth="1"/>
    <col min="3" max="3" width="12.41796875" customWidth="1"/>
    <col min="4" max="4" width="13.9453125" customWidth="1"/>
  </cols>
  <sheetData>
    <row r="1" spans="1:7" x14ac:dyDescent="0.55000000000000004">
      <c r="A1" t="s">
        <v>21</v>
      </c>
      <c r="B1" t="s">
        <v>22</v>
      </c>
      <c r="C1" t="s">
        <v>23</v>
      </c>
      <c r="D1" t="s">
        <v>24</v>
      </c>
      <c r="E1" t="s">
        <v>26</v>
      </c>
      <c r="F1" t="s">
        <v>27</v>
      </c>
      <c r="G1" t="s">
        <v>28</v>
      </c>
    </row>
    <row r="2" spans="1:7" x14ac:dyDescent="0.55000000000000004">
      <c r="A2">
        <v>1</v>
      </c>
      <c r="D2" t="s">
        <v>92</v>
      </c>
    </row>
    <row r="3" spans="1:7" x14ac:dyDescent="0.55000000000000004">
      <c r="A3">
        <v>2</v>
      </c>
      <c r="D3" t="s">
        <v>93</v>
      </c>
    </row>
    <row r="4" spans="1:7" x14ac:dyDescent="0.55000000000000004">
      <c r="A4">
        <v>3</v>
      </c>
      <c r="D4" t="s">
        <v>94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3FCA6-9117-4943-B220-F4C14CE64ACF}">
  <sheetPr codeName="Feuil6"/>
  <dimension ref="A1:H399"/>
  <sheetViews>
    <sheetView workbookViewId="0">
      <selection activeCell="B399" sqref="B399"/>
    </sheetView>
  </sheetViews>
  <sheetFormatPr baseColWidth="10" defaultRowHeight="28.8" x14ac:dyDescent="0.55000000000000004"/>
  <cols>
    <col min="2" max="2" width="12.3125" customWidth="1"/>
    <col min="3" max="3" width="13.89453125" customWidth="1"/>
    <col min="4" max="4" width="20.1015625" customWidth="1"/>
    <col min="5" max="5" width="12.7890625" customWidth="1"/>
    <col min="7" max="7" width="11.26171875" customWidth="1"/>
    <col min="8" max="8" width="12.89453125" customWidth="1"/>
  </cols>
  <sheetData>
    <row r="1" spans="1:8" x14ac:dyDescent="0.55000000000000004">
      <c r="A1" t="s">
        <v>14</v>
      </c>
      <c r="B1" t="s">
        <v>15</v>
      </c>
      <c r="C1" t="s">
        <v>16</v>
      </c>
      <c r="D1" t="s">
        <v>25</v>
      </c>
      <c r="E1" t="s">
        <v>17</v>
      </c>
      <c r="F1" t="s">
        <v>18</v>
      </c>
      <c r="G1" t="s">
        <v>19</v>
      </c>
      <c r="H1" t="s">
        <v>20</v>
      </c>
    </row>
    <row r="2" spans="1:8" x14ac:dyDescent="0.55000000000000004">
      <c r="B2" t="s">
        <v>343</v>
      </c>
      <c r="D2" t="s">
        <v>343</v>
      </c>
      <c r="E2">
        <v>84210</v>
      </c>
      <c r="F2">
        <v>44</v>
      </c>
      <c r="G2" t="s">
        <v>95</v>
      </c>
    </row>
    <row r="3" spans="1:8" x14ac:dyDescent="0.55000000000000004">
      <c r="B3" t="s">
        <v>344</v>
      </c>
      <c r="D3" t="s">
        <v>344</v>
      </c>
      <c r="E3">
        <v>84240</v>
      </c>
      <c r="F3" t="s">
        <v>96</v>
      </c>
      <c r="G3" t="s">
        <v>97</v>
      </c>
    </row>
    <row r="4" spans="1:8" x14ac:dyDescent="0.55000000000000004">
      <c r="B4" t="s">
        <v>345</v>
      </c>
      <c r="D4" t="s">
        <v>345</v>
      </c>
      <c r="E4">
        <v>84390</v>
      </c>
      <c r="F4" t="s">
        <v>99</v>
      </c>
      <c r="G4" t="s">
        <v>100</v>
      </c>
    </row>
    <row r="5" spans="1:8" x14ac:dyDescent="0.55000000000000004">
      <c r="B5" t="s">
        <v>346</v>
      </c>
      <c r="D5" t="s">
        <v>346</v>
      </c>
      <c r="E5">
        <v>84000</v>
      </c>
      <c r="F5" t="s">
        <v>101</v>
      </c>
      <c r="G5" t="s">
        <v>102</v>
      </c>
    </row>
    <row r="6" spans="1:8" x14ac:dyDescent="0.55000000000000004">
      <c r="B6" t="s">
        <v>347</v>
      </c>
      <c r="D6" t="s">
        <v>347</v>
      </c>
      <c r="E6">
        <v>84120</v>
      </c>
      <c r="F6" t="s">
        <v>106</v>
      </c>
      <c r="G6" t="s">
        <v>107</v>
      </c>
    </row>
    <row r="7" spans="1:8" x14ac:dyDescent="0.55000000000000004">
      <c r="B7" t="s">
        <v>348</v>
      </c>
      <c r="D7" t="s">
        <v>348</v>
      </c>
      <c r="E7">
        <v>84210</v>
      </c>
      <c r="F7" t="s">
        <v>108</v>
      </c>
      <c r="G7" t="s">
        <v>109</v>
      </c>
    </row>
    <row r="8" spans="1:8" x14ac:dyDescent="0.55000000000000004">
      <c r="B8" t="s">
        <v>349</v>
      </c>
      <c r="D8" t="s">
        <v>349</v>
      </c>
      <c r="E8">
        <v>84190</v>
      </c>
      <c r="F8" t="s">
        <v>110</v>
      </c>
      <c r="G8" t="s">
        <v>111</v>
      </c>
    </row>
    <row r="9" spans="1:8" x14ac:dyDescent="0.55000000000000004">
      <c r="B9" t="s">
        <v>350</v>
      </c>
      <c r="D9" t="s">
        <v>350</v>
      </c>
      <c r="E9">
        <v>84220</v>
      </c>
      <c r="F9" t="s">
        <v>112</v>
      </c>
      <c r="G9" t="s">
        <v>113</v>
      </c>
    </row>
    <row r="10" spans="1:8" x14ac:dyDescent="0.55000000000000004">
      <c r="B10" t="s">
        <v>351</v>
      </c>
      <c r="D10" t="s">
        <v>351</v>
      </c>
      <c r="E10">
        <v>84480</v>
      </c>
      <c r="F10" t="s">
        <v>120</v>
      </c>
      <c r="G10" t="s">
        <v>121</v>
      </c>
    </row>
    <row r="11" spans="1:8" x14ac:dyDescent="0.55000000000000004">
      <c r="B11" t="s">
        <v>352</v>
      </c>
      <c r="D11" t="s">
        <v>352</v>
      </c>
      <c r="E11">
        <v>84470</v>
      </c>
      <c r="F11" t="s">
        <v>134</v>
      </c>
      <c r="G11" t="s">
        <v>128</v>
      </c>
    </row>
    <row r="12" spans="1:8" x14ac:dyDescent="0.55000000000000004">
      <c r="B12" t="s">
        <v>353</v>
      </c>
      <c r="D12" t="s">
        <v>353</v>
      </c>
      <c r="E12">
        <v>84230</v>
      </c>
      <c r="F12" t="s">
        <v>131</v>
      </c>
      <c r="G12" t="s">
        <v>135</v>
      </c>
    </row>
    <row r="13" spans="1:8" x14ac:dyDescent="0.55000000000000004">
      <c r="B13" t="s">
        <v>354</v>
      </c>
      <c r="D13" t="s">
        <v>354</v>
      </c>
      <c r="E13">
        <v>84460</v>
      </c>
      <c r="F13" t="s">
        <v>136</v>
      </c>
      <c r="G13" t="s">
        <v>137</v>
      </c>
    </row>
    <row r="14" spans="1:8" x14ac:dyDescent="0.55000000000000004">
      <c r="B14" t="s">
        <v>355</v>
      </c>
      <c r="D14" t="s">
        <v>355</v>
      </c>
      <c r="E14">
        <v>84800</v>
      </c>
      <c r="F14" t="s">
        <v>145</v>
      </c>
      <c r="G14" t="s">
        <v>132</v>
      </c>
    </row>
    <row r="15" spans="1:8" x14ac:dyDescent="0.55000000000000004">
      <c r="B15" t="s">
        <v>356</v>
      </c>
      <c r="D15" t="s">
        <v>356</v>
      </c>
      <c r="E15">
        <v>84190</v>
      </c>
      <c r="F15" t="s">
        <v>149</v>
      </c>
      <c r="G15" t="s">
        <v>132</v>
      </c>
    </row>
    <row r="16" spans="1:8" x14ac:dyDescent="0.55000000000000004">
      <c r="B16" t="s">
        <v>357</v>
      </c>
      <c r="D16" t="s">
        <v>357</v>
      </c>
      <c r="E16">
        <v>84290</v>
      </c>
      <c r="F16" t="s">
        <v>139</v>
      </c>
      <c r="G16" t="s">
        <v>150</v>
      </c>
    </row>
    <row r="17" spans="2:7" x14ac:dyDescent="0.55000000000000004">
      <c r="B17" t="s">
        <v>358</v>
      </c>
      <c r="D17" t="s">
        <v>358</v>
      </c>
      <c r="E17">
        <v>84800</v>
      </c>
      <c r="F17" t="s">
        <v>126</v>
      </c>
      <c r="G17" t="s">
        <v>109</v>
      </c>
    </row>
    <row r="18" spans="2:7" x14ac:dyDescent="0.55000000000000004">
      <c r="B18" t="s">
        <v>359</v>
      </c>
      <c r="D18" t="s">
        <v>359</v>
      </c>
      <c r="E18">
        <v>84840</v>
      </c>
      <c r="F18" t="s">
        <v>152</v>
      </c>
      <c r="G18" t="s">
        <v>151</v>
      </c>
    </row>
    <row r="19" spans="2:7" x14ac:dyDescent="0.55000000000000004">
      <c r="B19" t="s">
        <v>360</v>
      </c>
      <c r="D19" t="s">
        <v>360</v>
      </c>
      <c r="E19">
        <v>84360</v>
      </c>
      <c r="F19" t="s">
        <v>153</v>
      </c>
      <c r="G19" t="s">
        <v>154</v>
      </c>
    </row>
    <row r="20" spans="2:7" x14ac:dyDescent="0.55000000000000004">
      <c r="B20" t="s">
        <v>361</v>
      </c>
      <c r="D20" t="s">
        <v>361</v>
      </c>
      <c r="E20">
        <v>84870</v>
      </c>
      <c r="F20" t="s">
        <v>138</v>
      </c>
      <c r="G20">
        <v>5</v>
      </c>
    </row>
    <row r="21" spans="2:7" x14ac:dyDescent="0.55000000000000004">
      <c r="B21" t="s">
        <v>362</v>
      </c>
      <c r="D21" t="s">
        <v>362</v>
      </c>
      <c r="E21">
        <v>84660</v>
      </c>
      <c r="F21" t="s">
        <v>112</v>
      </c>
      <c r="G21" t="s">
        <v>116</v>
      </c>
    </row>
    <row r="22" spans="2:7" x14ac:dyDescent="0.55000000000000004">
      <c r="B22" t="s">
        <v>363</v>
      </c>
      <c r="D22" t="s">
        <v>363</v>
      </c>
      <c r="E22">
        <v>84380</v>
      </c>
      <c r="F22" t="s">
        <v>131</v>
      </c>
      <c r="G22" t="s">
        <v>142</v>
      </c>
    </row>
    <row r="23" spans="2:7" x14ac:dyDescent="0.55000000000000004">
      <c r="B23" t="s">
        <v>364</v>
      </c>
      <c r="D23" t="s">
        <v>364</v>
      </c>
      <c r="E23">
        <v>84560</v>
      </c>
      <c r="F23" t="s">
        <v>123</v>
      </c>
      <c r="G23" t="s">
        <v>156</v>
      </c>
    </row>
    <row r="24" spans="2:7" x14ac:dyDescent="0.55000000000000004">
      <c r="B24" t="s">
        <v>365</v>
      </c>
      <c r="D24" t="s">
        <v>365</v>
      </c>
      <c r="E24">
        <v>84570</v>
      </c>
      <c r="F24" t="s">
        <v>155</v>
      </c>
      <c r="G24" t="s">
        <v>156</v>
      </c>
    </row>
    <row r="25" spans="2:7" x14ac:dyDescent="0.55000000000000004">
      <c r="B25" t="s">
        <v>366</v>
      </c>
      <c r="D25" t="s">
        <v>366</v>
      </c>
      <c r="E25">
        <v>84330</v>
      </c>
      <c r="F25" t="s">
        <v>98</v>
      </c>
      <c r="G25" t="s">
        <v>109</v>
      </c>
    </row>
    <row r="26" spans="2:7" x14ac:dyDescent="0.55000000000000004">
      <c r="B26" t="s">
        <v>367</v>
      </c>
      <c r="D26" t="s">
        <v>367</v>
      </c>
      <c r="E26">
        <v>84390</v>
      </c>
      <c r="F26" t="s">
        <v>157</v>
      </c>
      <c r="G26" t="s">
        <v>127</v>
      </c>
    </row>
    <row r="27" spans="2:7" x14ac:dyDescent="0.55000000000000004">
      <c r="B27" t="s">
        <v>368</v>
      </c>
      <c r="D27" t="s">
        <v>368</v>
      </c>
      <c r="E27">
        <v>84240</v>
      </c>
      <c r="F27" t="s">
        <v>147</v>
      </c>
      <c r="G27" t="s">
        <v>159</v>
      </c>
    </row>
    <row r="28" spans="2:7" x14ac:dyDescent="0.55000000000000004">
      <c r="B28" t="s">
        <v>369</v>
      </c>
      <c r="D28" t="s">
        <v>369</v>
      </c>
      <c r="E28">
        <v>84420</v>
      </c>
      <c r="F28" t="s">
        <v>115</v>
      </c>
      <c r="G28" t="s">
        <v>162</v>
      </c>
    </row>
    <row r="29" spans="2:7" x14ac:dyDescent="0.55000000000000004">
      <c r="B29" t="s">
        <v>370</v>
      </c>
      <c r="D29" t="s">
        <v>370</v>
      </c>
      <c r="E29">
        <v>84110</v>
      </c>
      <c r="F29" t="s">
        <v>143</v>
      </c>
      <c r="G29" t="s">
        <v>142</v>
      </c>
    </row>
    <row r="30" spans="2:7" x14ac:dyDescent="0.55000000000000004">
      <c r="B30" t="s">
        <v>371</v>
      </c>
      <c r="D30" t="s">
        <v>371</v>
      </c>
      <c r="E30">
        <v>84110</v>
      </c>
      <c r="F30" t="s">
        <v>139</v>
      </c>
      <c r="G30" t="s">
        <v>164</v>
      </c>
    </row>
    <row r="31" spans="2:7" x14ac:dyDescent="0.55000000000000004">
      <c r="B31" t="s">
        <v>372</v>
      </c>
      <c r="D31" t="s">
        <v>372</v>
      </c>
      <c r="E31">
        <v>84190</v>
      </c>
      <c r="F31" t="s">
        <v>149</v>
      </c>
      <c r="G31" t="s">
        <v>137</v>
      </c>
    </row>
    <row r="32" spans="2:7" x14ac:dyDescent="0.55000000000000004">
      <c r="B32" t="s">
        <v>373</v>
      </c>
      <c r="D32" t="s">
        <v>373</v>
      </c>
      <c r="E32">
        <v>84110</v>
      </c>
      <c r="F32" t="s">
        <v>115</v>
      </c>
      <c r="G32">
        <v>5</v>
      </c>
    </row>
    <row r="33" spans="2:7" x14ac:dyDescent="0.55000000000000004">
      <c r="B33" t="s">
        <v>374</v>
      </c>
      <c r="D33" t="s">
        <v>374</v>
      </c>
      <c r="E33">
        <v>84290</v>
      </c>
      <c r="F33" t="s">
        <v>166</v>
      </c>
      <c r="G33" t="s">
        <v>130</v>
      </c>
    </row>
    <row r="34" spans="2:7" x14ac:dyDescent="0.55000000000000004">
      <c r="B34" t="s">
        <v>375</v>
      </c>
      <c r="D34" t="s">
        <v>375</v>
      </c>
      <c r="E34">
        <v>84390</v>
      </c>
      <c r="F34" t="s">
        <v>117</v>
      </c>
      <c r="G34" t="s">
        <v>125</v>
      </c>
    </row>
    <row r="35" spans="2:7" x14ac:dyDescent="0.55000000000000004">
      <c r="B35" t="s">
        <v>376</v>
      </c>
      <c r="D35" t="s">
        <v>376</v>
      </c>
      <c r="E35">
        <v>84210</v>
      </c>
      <c r="F35">
        <v>44</v>
      </c>
      <c r="G35" t="s">
        <v>109</v>
      </c>
    </row>
    <row r="36" spans="2:7" x14ac:dyDescent="0.55000000000000004">
      <c r="B36" t="s">
        <v>377</v>
      </c>
      <c r="D36" t="s">
        <v>377</v>
      </c>
      <c r="E36">
        <v>84330</v>
      </c>
      <c r="F36" t="s">
        <v>98</v>
      </c>
      <c r="G36" t="s">
        <v>140</v>
      </c>
    </row>
    <row r="37" spans="2:7" x14ac:dyDescent="0.55000000000000004">
      <c r="B37" t="s">
        <v>378</v>
      </c>
      <c r="D37" t="s">
        <v>378</v>
      </c>
      <c r="E37">
        <v>84110</v>
      </c>
      <c r="F37" t="s">
        <v>143</v>
      </c>
      <c r="G37" t="s">
        <v>109</v>
      </c>
    </row>
    <row r="38" spans="2:7" x14ac:dyDescent="0.55000000000000004">
      <c r="B38" t="s">
        <v>379</v>
      </c>
      <c r="D38" t="s">
        <v>379</v>
      </c>
      <c r="E38">
        <v>84290</v>
      </c>
      <c r="F38" t="s">
        <v>143</v>
      </c>
      <c r="G38" t="s">
        <v>168</v>
      </c>
    </row>
    <row r="39" spans="2:7" x14ac:dyDescent="0.55000000000000004">
      <c r="B39" t="s">
        <v>380</v>
      </c>
      <c r="D39" t="s">
        <v>380</v>
      </c>
      <c r="E39">
        <v>84190</v>
      </c>
      <c r="F39" t="s">
        <v>129</v>
      </c>
      <c r="G39" t="s">
        <v>137</v>
      </c>
    </row>
    <row r="40" spans="2:7" x14ac:dyDescent="0.55000000000000004">
      <c r="B40" t="s">
        <v>381</v>
      </c>
      <c r="D40" t="s">
        <v>381</v>
      </c>
      <c r="E40">
        <v>84300</v>
      </c>
      <c r="F40" t="s">
        <v>123</v>
      </c>
      <c r="G40" t="s">
        <v>103</v>
      </c>
    </row>
    <row r="41" spans="2:7" x14ac:dyDescent="0.55000000000000004">
      <c r="B41" t="s">
        <v>382</v>
      </c>
      <c r="D41" t="s">
        <v>382</v>
      </c>
      <c r="E41">
        <v>84850</v>
      </c>
      <c r="F41" t="s">
        <v>115</v>
      </c>
      <c r="G41" t="s">
        <v>118</v>
      </c>
    </row>
    <row r="42" spans="2:7" x14ac:dyDescent="0.55000000000000004">
      <c r="B42" t="s">
        <v>383</v>
      </c>
      <c r="D42" t="s">
        <v>383</v>
      </c>
      <c r="E42">
        <v>84100</v>
      </c>
      <c r="F42" t="s">
        <v>139</v>
      </c>
      <c r="G42" t="s">
        <v>160</v>
      </c>
    </row>
    <row r="43" spans="2:7" x14ac:dyDescent="0.55000000000000004">
      <c r="B43" t="s">
        <v>384</v>
      </c>
      <c r="D43" t="s">
        <v>384</v>
      </c>
      <c r="E43">
        <v>84190</v>
      </c>
      <c r="F43" t="s">
        <v>99</v>
      </c>
      <c r="G43" t="s">
        <v>164</v>
      </c>
    </row>
    <row r="44" spans="2:7" x14ac:dyDescent="0.55000000000000004">
      <c r="B44" t="s">
        <v>385</v>
      </c>
      <c r="D44" t="s">
        <v>385</v>
      </c>
      <c r="E44">
        <v>84270</v>
      </c>
      <c r="F44" t="s">
        <v>108</v>
      </c>
      <c r="G44" t="s">
        <v>118</v>
      </c>
    </row>
    <row r="45" spans="2:7" x14ac:dyDescent="0.55000000000000004">
      <c r="B45" t="s">
        <v>386</v>
      </c>
      <c r="D45" t="s">
        <v>386</v>
      </c>
      <c r="E45">
        <v>84740</v>
      </c>
      <c r="F45" t="s">
        <v>101</v>
      </c>
      <c r="G45" t="s">
        <v>111</v>
      </c>
    </row>
    <row r="46" spans="2:7" x14ac:dyDescent="0.55000000000000004">
      <c r="B46" t="s">
        <v>387</v>
      </c>
      <c r="D46" t="s">
        <v>387</v>
      </c>
      <c r="E46">
        <v>84210</v>
      </c>
      <c r="F46" t="s">
        <v>108</v>
      </c>
      <c r="G46" t="s">
        <v>140</v>
      </c>
    </row>
    <row r="47" spans="2:7" x14ac:dyDescent="0.55000000000000004">
      <c r="B47" t="s">
        <v>388</v>
      </c>
      <c r="D47" t="s">
        <v>388</v>
      </c>
      <c r="E47">
        <v>84750</v>
      </c>
      <c r="F47" t="s">
        <v>126</v>
      </c>
      <c r="G47" t="s">
        <v>107</v>
      </c>
    </row>
    <row r="48" spans="2:7" x14ac:dyDescent="0.55000000000000004">
      <c r="B48" t="s">
        <v>389</v>
      </c>
      <c r="D48" t="s">
        <v>389</v>
      </c>
      <c r="E48">
        <v>84110</v>
      </c>
      <c r="F48" t="s">
        <v>119</v>
      </c>
      <c r="G48" t="s">
        <v>111</v>
      </c>
    </row>
    <row r="49" spans="2:7" x14ac:dyDescent="0.55000000000000004">
      <c r="B49" t="s">
        <v>390</v>
      </c>
      <c r="D49" t="s">
        <v>390</v>
      </c>
      <c r="E49">
        <v>84570</v>
      </c>
      <c r="F49" t="s">
        <v>131</v>
      </c>
      <c r="G49" t="s">
        <v>113</v>
      </c>
    </row>
    <row r="50" spans="2:7" x14ac:dyDescent="0.55000000000000004">
      <c r="B50" t="s">
        <v>391</v>
      </c>
      <c r="D50" t="s">
        <v>391</v>
      </c>
      <c r="E50">
        <v>13100</v>
      </c>
      <c r="F50" t="s">
        <v>171</v>
      </c>
      <c r="G50" t="s">
        <v>141</v>
      </c>
    </row>
    <row r="51" spans="2:7" x14ac:dyDescent="0.55000000000000004">
      <c r="B51" t="s">
        <v>392</v>
      </c>
      <c r="D51" t="s">
        <v>392</v>
      </c>
      <c r="E51">
        <v>13190</v>
      </c>
      <c r="F51" t="s">
        <v>172</v>
      </c>
      <c r="G51" t="s">
        <v>133</v>
      </c>
    </row>
    <row r="52" spans="2:7" x14ac:dyDescent="0.55000000000000004">
      <c r="B52" t="s">
        <v>393</v>
      </c>
      <c r="D52" t="s">
        <v>393</v>
      </c>
      <c r="E52">
        <v>13980</v>
      </c>
      <c r="F52" t="s">
        <v>173</v>
      </c>
      <c r="G52" t="s">
        <v>116</v>
      </c>
    </row>
    <row r="53" spans="2:7" x14ac:dyDescent="0.55000000000000004">
      <c r="B53" t="s">
        <v>394</v>
      </c>
      <c r="D53" t="s">
        <v>394</v>
      </c>
      <c r="E53">
        <v>13200</v>
      </c>
      <c r="F53" t="s">
        <v>174</v>
      </c>
      <c r="G53" t="s">
        <v>175</v>
      </c>
    </row>
    <row r="54" spans="2:7" x14ac:dyDescent="0.55000000000000004">
      <c r="B54" t="s">
        <v>395</v>
      </c>
      <c r="D54" t="s">
        <v>395</v>
      </c>
      <c r="E54">
        <v>13930</v>
      </c>
      <c r="F54" t="s">
        <v>173</v>
      </c>
      <c r="G54" t="s">
        <v>95</v>
      </c>
    </row>
    <row r="55" spans="2:7" x14ac:dyDescent="0.55000000000000004">
      <c r="B55" t="s">
        <v>396</v>
      </c>
      <c r="D55" t="s">
        <v>396</v>
      </c>
      <c r="E55">
        <v>13320</v>
      </c>
      <c r="F55" t="s">
        <v>179</v>
      </c>
      <c r="G55" t="s">
        <v>100</v>
      </c>
    </row>
    <row r="56" spans="2:7" x14ac:dyDescent="0.55000000000000004">
      <c r="B56" t="s">
        <v>397</v>
      </c>
      <c r="D56" t="s">
        <v>397</v>
      </c>
      <c r="E56">
        <v>13440</v>
      </c>
      <c r="F56" t="s">
        <v>146</v>
      </c>
      <c r="G56" t="s">
        <v>95</v>
      </c>
    </row>
    <row r="57" spans="2:7" x14ac:dyDescent="0.55000000000000004">
      <c r="B57" t="s">
        <v>398</v>
      </c>
      <c r="D57" t="s">
        <v>398</v>
      </c>
      <c r="E57">
        <v>13480</v>
      </c>
      <c r="F57" t="s">
        <v>181</v>
      </c>
      <c r="G57" t="s">
        <v>124</v>
      </c>
    </row>
    <row r="58" spans="2:7" x14ac:dyDescent="0.55000000000000004">
      <c r="B58" t="s">
        <v>399</v>
      </c>
      <c r="D58" t="s">
        <v>399</v>
      </c>
      <c r="E58">
        <v>13950</v>
      </c>
      <c r="F58" t="s">
        <v>176</v>
      </c>
      <c r="G58" t="s">
        <v>169</v>
      </c>
    </row>
    <row r="59" spans="2:7" x14ac:dyDescent="0.55000000000000004">
      <c r="B59" t="s">
        <v>400</v>
      </c>
      <c r="D59" t="s">
        <v>400</v>
      </c>
      <c r="E59">
        <v>13620</v>
      </c>
      <c r="F59" t="s">
        <v>172</v>
      </c>
      <c r="G59" t="s">
        <v>140</v>
      </c>
    </row>
    <row r="60" spans="2:7" x14ac:dyDescent="0.55000000000000004">
      <c r="B60" t="s">
        <v>401</v>
      </c>
      <c r="D60" t="s">
        <v>401</v>
      </c>
      <c r="E60">
        <v>13790</v>
      </c>
      <c r="F60" t="s">
        <v>183</v>
      </c>
      <c r="G60" t="s">
        <v>107</v>
      </c>
    </row>
    <row r="61" spans="2:7" x14ac:dyDescent="0.55000000000000004">
      <c r="B61" t="s">
        <v>402</v>
      </c>
      <c r="D61" t="s">
        <v>402</v>
      </c>
      <c r="E61">
        <v>13600</v>
      </c>
      <c r="F61" t="s">
        <v>184</v>
      </c>
      <c r="G61" t="s">
        <v>185</v>
      </c>
    </row>
    <row r="62" spans="2:7" x14ac:dyDescent="0.55000000000000004">
      <c r="B62" t="s">
        <v>403</v>
      </c>
      <c r="D62" t="s">
        <v>403</v>
      </c>
      <c r="E62">
        <v>13510</v>
      </c>
      <c r="F62" t="s">
        <v>186</v>
      </c>
      <c r="G62" t="s">
        <v>127</v>
      </c>
    </row>
    <row r="63" spans="2:7" x14ac:dyDescent="0.55000000000000004">
      <c r="B63" t="s">
        <v>404</v>
      </c>
      <c r="D63" t="s">
        <v>404</v>
      </c>
      <c r="E63">
        <v>13430</v>
      </c>
      <c r="F63" t="s">
        <v>173</v>
      </c>
      <c r="G63" t="s">
        <v>111</v>
      </c>
    </row>
    <row r="64" spans="2:7" x14ac:dyDescent="0.55000000000000004">
      <c r="B64" t="s">
        <v>405</v>
      </c>
      <c r="D64" t="s">
        <v>405</v>
      </c>
      <c r="E64">
        <v>13580</v>
      </c>
      <c r="F64" t="s">
        <v>189</v>
      </c>
      <c r="G64" t="s">
        <v>158</v>
      </c>
    </row>
    <row r="65" spans="2:7" x14ac:dyDescent="0.55000000000000004">
      <c r="B65" t="s">
        <v>406</v>
      </c>
      <c r="D65" t="s">
        <v>406</v>
      </c>
      <c r="E65">
        <v>13120</v>
      </c>
      <c r="F65" t="s">
        <v>179</v>
      </c>
      <c r="G65" t="s">
        <v>97</v>
      </c>
    </row>
    <row r="66" spans="2:7" x14ac:dyDescent="0.55000000000000004">
      <c r="B66" t="s">
        <v>407</v>
      </c>
      <c r="D66" t="s">
        <v>407</v>
      </c>
      <c r="E66">
        <v>13450</v>
      </c>
      <c r="F66" t="s">
        <v>190</v>
      </c>
      <c r="G66" t="s">
        <v>137</v>
      </c>
    </row>
    <row r="67" spans="2:7" x14ac:dyDescent="0.55000000000000004">
      <c r="B67" t="s">
        <v>408</v>
      </c>
      <c r="D67" t="s">
        <v>408</v>
      </c>
      <c r="E67">
        <v>13690</v>
      </c>
      <c r="F67" t="s">
        <v>112</v>
      </c>
      <c r="G67" t="s">
        <v>162</v>
      </c>
    </row>
    <row r="68" spans="2:7" x14ac:dyDescent="0.55000000000000004">
      <c r="B68" t="s">
        <v>409</v>
      </c>
      <c r="D68" t="s">
        <v>409</v>
      </c>
      <c r="E68">
        <v>13490</v>
      </c>
      <c r="F68" t="s">
        <v>177</v>
      </c>
      <c r="G68" t="s">
        <v>105</v>
      </c>
    </row>
    <row r="69" spans="2:7" x14ac:dyDescent="0.55000000000000004">
      <c r="B69" t="s">
        <v>410</v>
      </c>
      <c r="D69" t="s">
        <v>410</v>
      </c>
      <c r="E69">
        <v>13410</v>
      </c>
      <c r="F69" t="s">
        <v>192</v>
      </c>
      <c r="G69" t="s">
        <v>167</v>
      </c>
    </row>
    <row r="70" spans="2:7" x14ac:dyDescent="0.55000000000000004">
      <c r="B70" t="s">
        <v>411</v>
      </c>
      <c r="D70" t="s">
        <v>411</v>
      </c>
      <c r="E70">
        <v>13910</v>
      </c>
      <c r="F70" t="s">
        <v>123</v>
      </c>
      <c r="G70" t="s">
        <v>194</v>
      </c>
    </row>
    <row r="71" spans="2:7" x14ac:dyDescent="0.55000000000000004">
      <c r="B71" t="s">
        <v>412</v>
      </c>
      <c r="D71" t="s">
        <v>412</v>
      </c>
      <c r="E71">
        <v>13370</v>
      </c>
      <c r="F71" t="s">
        <v>96</v>
      </c>
      <c r="G71" t="s">
        <v>158</v>
      </c>
    </row>
    <row r="72" spans="2:7" x14ac:dyDescent="0.55000000000000004">
      <c r="B72" t="s">
        <v>413</v>
      </c>
      <c r="D72" t="s">
        <v>413</v>
      </c>
      <c r="E72">
        <v>13700</v>
      </c>
      <c r="F72" t="s">
        <v>178</v>
      </c>
      <c r="G72" t="s">
        <v>156</v>
      </c>
    </row>
    <row r="73" spans="2:7" x14ac:dyDescent="0.55000000000000004">
      <c r="B73" t="s">
        <v>414</v>
      </c>
      <c r="D73" t="s">
        <v>414</v>
      </c>
      <c r="E73">
        <v>13500</v>
      </c>
      <c r="F73" t="s">
        <v>180</v>
      </c>
      <c r="G73" t="s">
        <v>132</v>
      </c>
    </row>
    <row r="74" spans="2:7" x14ac:dyDescent="0.55000000000000004">
      <c r="B74" t="s">
        <v>415</v>
      </c>
      <c r="D74" t="s">
        <v>415</v>
      </c>
      <c r="E74">
        <v>13660</v>
      </c>
      <c r="F74" t="s">
        <v>104</v>
      </c>
      <c r="G74" t="s">
        <v>111</v>
      </c>
    </row>
    <row r="75" spans="2:7" x14ac:dyDescent="0.55000000000000004">
      <c r="B75" t="s">
        <v>416</v>
      </c>
      <c r="D75" t="s">
        <v>416</v>
      </c>
      <c r="E75">
        <v>13124</v>
      </c>
      <c r="F75" t="s">
        <v>176</v>
      </c>
      <c r="G75" t="s">
        <v>148</v>
      </c>
    </row>
    <row r="76" spans="2:7" x14ac:dyDescent="0.55000000000000004">
      <c r="B76" t="s">
        <v>417</v>
      </c>
      <c r="D76" t="s">
        <v>417</v>
      </c>
      <c r="E76">
        <v>13380</v>
      </c>
      <c r="F76" t="s">
        <v>188</v>
      </c>
      <c r="G76" t="s">
        <v>97</v>
      </c>
    </row>
    <row r="77" spans="2:7" x14ac:dyDescent="0.55000000000000004">
      <c r="B77" t="s">
        <v>418</v>
      </c>
      <c r="D77" t="s">
        <v>418</v>
      </c>
      <c r="E77">
        <v>13340</v>
      </c>
      <c r="F77" t="s">
        <v>183</v>
      </c>
      <c r="G77" t="s">
        <v>113</v>
      </c>
    </row>
    <row r="78" spans="2:7" x14ac:dyDescent="0.55000000000000004">
      <c r="B78" t="s">
        <v>419</v>
      </c>
      <c r="D78" t="s">
        <v>419</v>
      </c>
      <c r="E78">
        <v>13870</v>
      </c>
      <c r="F78" t="s">
        <v>126</v>
      </c>
      <c r="G78" t="s">
        <v>160</v>
      </c>
    </row>
    <row r="79" spans="2:7" x14ac:dyDescent="0.55000000000000004">
      <c r="B79" t="s">
        <v>420</v>
      </c>
      <c r="D79" t="s">
        <v>420</v>
      </c>
      <c r="E79">
        <v>13360</v>
      </c>
      <c r="F79" t="s">
        <v>188</v>
      </c>
      <c r="G79" t="s">
        <v>185</v>
      </c>
    </row>
    <row r="80" spans="2:7" x14ac:dyDescent="0.55000000000000004">
      <c r="B80" t="s">
        <v>421</v>
      </c>
      <c r="D80" t="s">
        <v>421</v>
      </c>
      <c r="E80">
        <v>13740</v>
      </c>
      <c r="F80" t="s">
        <v>187</v>
      </c>
      <c r="G80" t="s">
        <v>144</v>
      </c>
    </row>
    <row r="81" spans="2:7" x14ac:dyDescent="0.55000000000000004">
      <c r="B81" t="s">
        <v>422</v>
      </c>
      <c r="D81" t="s">
        <v>422</v>
      </c>
      <c r="E81">
        <v>13100</v>
      </c>
      <c r="F81" t="s">
        <v>191</v>
      </c>
      <c r="G81" t="s">
        <v>148</v>
      </c>
    </row>
    <row r="82" spans="2:7" x14ac:dyDescent="0.55000000000000004">
      <c r="B82" t="s">
        <v>423</v>
      </c>
      <c r="D82" t="s">
        <v>423</v>
      </c>
      <c r="E82">
        <v>13100</v>
      </c>
      <c r="F82" t="s">
        <v>189</v>
      </c>
      <c r="G82" t="s">
        <v>159</v>
      </c>
    </row>
    <row r="83" spans="2:7" x14ac:dyDescent="0.55000000000000004">
      <c r="B83" t="s">
        <v>424</v>
      </c>
      <c r="D83" t="s">
        <v>424</v>
      </c>
      <c r="E83">
        <v>13460</v>
      </c>
      <c r="F83" t="s">
        <v>179</v>
      </c>
      <c r="G83" t="s">
        <v>195</v>
      </c>
    </row>
    <row r="84" spans="2:7" x14ac:dyDescent="0.55000000000000004">
      <c r="B84" t="s">
        <v>425</v>
      </c>
      <c r="D84" t="s">
        <v>425</v>
      </c>
      <c r="E84">
        <v>13310</v>
      </c>
      <c r="F84" t="s">
        <v>177</v>
      </c>
      <c r="G84" t="s">
        <v>102</v>
      </c>
    </row>
    <row r="85" spans="2:7" x14ac:dyDescent="0.55000000000000004">
      <c r="B85" t="s">
        <v>426</v>
      </c>
      <c r="D85" t="s">
        <v>426</v>
      </c>
      <c r="E85">
        <v>13115</v>
      </c>
      <c r="F85" t="s">
        <v>161</v>
      </c>
      <c r="G85" t="s">
        <v>114</v>
      </c>
    </row>
    <row r="86" spans="2:7" x14ac:dyDescent="0.55000000000000004">
      <c r="B86" t="s">
        <v>427</v>
      </c>
      <c r="D86" t="s">
        <v>427</v>
      </c>
      <c r="E86">
        <v>13730</v>
      </c>
      <c r="F86" t="s">
        <v>178</v>
      </c>
      <c r="G86" t="s">
        <v>113</v>
      </c>
    </row>
    <row r="87" spans="2:7" x14ac:dyDescent="0.55000000000000004">
      <c r="B87" t="s">
        <v>428</v>
      </c>
      <c r="D87" t="s">
        <v>428</v>
      </c>
      <c r="E87">
        <v>13240</v>
      </c>
      <c r="F87" t="s">
        <v>180</v>
      </c>
      <c r="G87" t="s">
        <v>127</v>
      </c>
    </row>
    <row r="88" spans="2:7" x14ac:dyDescent="0.55000000000000004">
      <c r="B88" t="s">
        <v>429</v>
      </c>
      <c r="D88" t="s">
        <v>429</v>
      </c>
      <c r="E88">
        <v>13100</v>
      </c>
      <c r="F88" t="s">
        <v>191</v>
      </c>
      <c r="G88" t="s">
        <v>159</v>
      </c>
    </row>
    <row r="89" spans="2:7" x14ac:dyDescent="0.55000000000000004">
      <c r="B89" t="s">
        <v>430</v>
      </c>
      <c r="D89" t="s">
        <v>430</v>
      </c>
      <c r="E89">
        <v>13880</v>
      </c>
      <c r="F89" t="s">
        <v>191</v>
      </c>
      <c r="G89" t="s">
        <v>167</v>
      </c>
    </row>
    <row r="90" spans="2:7" x14ac:dyDescent="0.55000000000000004">
      <c r="B90" t="s">
        <v>431</v>
      </c>
      <c r="D90" t="s">
        <v>431</v>
      </c>
      <c r="E90">
        <v>13670</v>
      </c>
      <c r="F90" t="s">
        <v>123</v>
      </c>
      <c r="G90" t="s">
        <v>165</v>
      </c>
    </row>
    <row r="91" spans="2:7" x14ac:dyDescent="0.55000000000000004">
      <c r="B91" t="s">
        <v>432</v>
      </c>
      <c r="D91" t="s">
        <v>432</v>
      </c>
      <c r="E91">
        <v>13500</v>
      </c>
      <c r="F91" t="s">
        <v>172</v>
      </c>
      <c r="G91" t="s">
        <v>111</v>
      </c>
    </row>
    <row r="92" spans="2:7" x14ac:dyDescent="0.55000000000000004">
      <c r="B92" t="s">
        <v>433</v>
      </c>
      <c r="D92" t="s">
        <v>433</v>
      </c>
      <c r="E92">
        <v>13114</v>
      </c>
      <c r="F92" t="s">
        <v>181</v>
      </c>
      <c r="G92" t="s">
        <v>100</v>
      </c>
    </row>
    <row r="93" spans="2:7" x14ac:dyDescent="0.55000000000000004">
      <c r="B93" t="s">
        <v>434</v>
      </c>
      <c r="D93" t="s">
        <v>434</v>
      </c>
      <c r="E93">
        <v>13540</v>
      </c>
      <c r="F93" t="s">
        <v>193</v>
      </c>
      <c r="G93" t="s">
        <v>100</v>
      </c>
    </row>
    <row r="94" spans="2:7" x14ac:dyDescent="0.55000000000000004">
      <c r="B94" t="s">
        <v>435</v>
      </c>
      <c r="D94" t="s">
        <v>435</v>
      </c>
      <c r="E94">
        <v>13016</v>
      </c>
      <c r="F94" t="s">
        <v>187</v>
      </c>
      <c r="G94" t="s">
        <v>122</v>
      </c>
    </row>
    <row r="95" spans="2:7" x14ac:dyDescent="0.55000000000000004">
      <c r="B95" t="s">
        <v>436</v>
      </c>
      <c r="D95" t="s">
        <v>436</v>
      </c>
      <c r="E95">
        <v>13720</v>
      </c>
      <c r="F95" t="s">
        <v>180</v>
      </c>
      <c r="G95" t="s">
        <v>185</v>
      </c>
    </row>
    <row r="96" spans="2:7" x14ac:dyDescent="0.55000000000000004">
      <c r="B96" t="s">
        <v>437</v>
      </c>
      <c r="D96" t="s">
        <v>437</v>
      </c>
      <c r="E96">
        <v>13170</v>
      </c>
      <c r="F96" t="s">
        <v>176</v>
      </c>
      <c r="G96" t="s">
        <v>163</v>
      </c>
    </row>
    <row r="97" spans="2:7" x14ac:dyDescent="0.55000000000000004">
      <c r="B97" t="s">
        <v>438</v>
      </c>
      <c r="D97" t="s">
        <v>438</v>
      </c>
      <c r="E97">
        <v>13117</v>
      </c>
      <c r="F97" t="s">
        <v>176</v>
      </c>
      <c r="G97" t="s">
        <v>111</v>
      </c>
    </row>
    <row r="98" spans="2:7" x14ac:dyDescent="0.55000000000000004">
      <c r="B98" t="s">
        <v>439</v>
      </c>
      <c r="D98" t="s">
        <v>439</v>
      </c>
      <c r="E98">
        <v>13008</v>
      </c>
      <c r="F98" t="s">
        <v>182</v>
      </c>
      <c r="G98" t="s">
        <v>163</v>
      </c>
    </row>
    <row r="99" spans="2:7" x14ac:dyDescent="0.55000000000000004">
      <c r="B99" t="s">
        <v>170</v>
      </c>
      <c r="D99" t="s">
        <v>170</v>
      </c>
      <c r="E99">
        <v>13103</v>
      </c>
      <c r="F99">
        <v>43.79</v>
      </c>
      <c r="G99">
        <v>4.7577769999999999</v>
      </c>
    </row>
    <row r="100" spans="2:7" x14ac:dyDescent="0.55000000000000004">
      <c r="B100" t="s">
        <v>440</v>
      </c>
      <c r="D100" t="s">
        <v>440</v>
      </c>
      <c r="E100">
        <v>62147</v>
      </c>
      <c r="F100" t="s">
        <v>198</v>
      </c>
      <c r="G100">
        <v>3</v>
      </c>
    </row>
    <row r="101" spans="2:7" x14ac:dyDescent="0.55000000000000004">
      <c r="B101" t="s">
        <v>441</v>
      </c>
      <c r="D101" t="s">
        <v>441</v>
      </c>
      <c r="E101">
        <v>62147</v>
      </c>
      <c r="F101" t="s">
        <v>201</v>
      </c>
      <c r="G101" t="s">
        <v>202</v>
      </c>
    </row>
    <row r="102" spans="2:7" x14ac:dyDescent="0.55000000000000004">
      <c r="B102" t="s">
        <v>442</v>
      </c>
      <c r="D102" t="s">
        <v>442</v>
      </c>
      <c r="E102">
        <v>62116</v>
      </c>
      <c r="F102" t="s">
        <v>201</v>
      </c>
      <c r="G102" t="s">
        <v>205</v>
      </c>
    </row>
    <row r="103" spans="2:7" x14ac:dyDescent="0.55000000000000004">
      <c r="B103" t="s">
        <v>443</v>
      </c>
      <c r="D103" t="s">
        <v>443</v>
      </c>
      <c r="E103">
        <v>62121</v>
      </c>
      <c r="F103" t="s">
        <v>198</v>
      </c>
      <c r="G103" t="s">
        <v>210</v>
      </c>
    </row>
    <row r="104" spans="2:7" x14ac:dyDescent="0.55000000000000004">
      <c r="B104" t="s">
        <v>444</v>
      </c>
      <c r="D104" t="s">
        <v>444</v>
      </c>
      <c r="E104">
        <v>62116</v>
      </c>
      <c r="F104" t="s">
        <v>213</v>
      </c>
      <c r="G104" t="s">
        <v>214</v>
      </c>
    </row>
    <row r="105" spans="2:7" x14ac:dyDescent="0.55000000000000004">
      <c r="B105" t="s">
        <v>445</v>
      </c>
      <c r="D105" t="s">
        <v>445</v>
      </c>
      <c r="E105">
        <v>62650</v>
      </c>
      <c r="F105" t="s">
        <v>223</v>
      </c>
      <c r="G105">
        <v>2</v>
      </c>
    </row>
    <row r="106" spans="2:7" x14ac:dyDescent="0.55000000000000004">
      <c r="B106" t="s">
        <v>446</v>
      </c>
      <c r="D106" t="s">
        <v>446</v>
      </c>
      <c r="E106">
        <v>62850</v>
      </c>
      <c r="F106" t="s">
        <v>227</v>
      </c>
      <c r="G106" t="s">
        <v>228</v>
      </c>
    </row>
    <row r="107" spans="2:7" x14ac:dyDescent="0.55000000000000004">
      <c r="B107" t="s">
        <v>447</v>
      </c>
      <c r="D107" t="s">
        <v>447</v>
      </c>
      <c r="E107">
        <v>62650</v>
      </c>
      <c r="F107" t="s">
        <v>229</v>
      </c>
      <c r="G107" t="s">
        <v>230</v>
      </c>
    </row>
    <row r="108" spans="2:7" x14ac:dyDescent="0.55000000000000004">
      <c r="B108" t="s">
        <v>448</v>
      </c>
      <c r="D108" t="s">
        <v>448</v>
      </c>
      <c r="E108">
        <v>62157</v>
      </c>
      <c r="F108" t="s">
        <v>233</v>
      </c>
      <c r="G108" t="s">
        <v>234</v>
      </c>
    </row>
    <row r="109" spans="2:7" x14ac:dyDescent="0.55000000000000004">
      <c r="B109" t="s">
        <v>449</v>
      </c>
      <c r="D109" t="s">
        <v>449</v>
      </c>
      <c r="E109">
        <v>62164</v>
      </c>
      <c r="F109" t="s">
        <v>236</v>
      </c>
      <c r="G109" t="s">
        <v>237</v>
      </c>
    </row>
    <row r="110" spans="2:7" x14ac:dyDescent="0.55000000000000004">
      <c r="B110" t="s">
        <v>450</v>
      </c>
      <c r="D110" t="s">
        <v>450</v>
      </c>
      <c r="E110">
        <v>62127</v>
      </c>
      <c r="F110" t="s">
        <v>240</v>
      </c>
      <c r="G110" t="s">
        <v>241</v>
      </c>
    </row>
    <row r="111" spans="2:7" x14ac:dyDescent="0.55000000000000004">
      <c r="B111" t="s">
        <v>451</v>
      </c>
      <c r="D111" t="s">
        <v>451</v>
      </c>
      <c r="E111">
        <v>62760</v>
      </c>
      <c r="F111" t="s">
        <v>196</v>
      </c>
      <c r="G111" t="s">
        <v>220</v>
      </c>
    </row>
    <row r="112" spans="2:7" x14ac:dyDescent="0.55000000000000004">
      <c r="B112" t="s">
        <v>452</v>
      </c>
      <c r="D112" t="s">
        <v>452</v>
      </c>
      <c r="E112">
        <v>62340</v>
      </c>
      <c r="F112" t="s">
        <v>244</v>
      </c>
      <c r="G112" t="s">
        <v>245</v>
      </c>
    </row>
    <row r="113" spans="2:7" x14ac:dyDescent="0.55000000000000004">
      <c r="B113" t="s">
        <v>453</v>
      </c>
      <c r="D113" t="s">
        <v>453</v>
      </c>
      <c r="E113">
        <v>62149</v>
      </c>
      <c r="F113" t="s">
        <v>246</v>
      </c>
      <c r="G113" t="s">
        <v>204</v>
      </c>
    </row>
    <row r="114" spans="2:7" x14ac:dyDescent="0.55000000000000004">
      <c r="B114" t="s">
        <v>454</v>
      </c>
      <c r="D114" t="s">
        <v>454</v>
      </c>
      <c r="E114">
        <v>62223</v>
      </c>
      <c r="F114" t="s">
        <v>240</v>
      </c>
      <c r="G114" t="s">
        <v>210</v>
      </c>
    </row>
    <row r="115" spans="2:7" x14ac:dyDescent="0.55000000000000004">
      <c r="B115" t="s">
        <v>455</v>
      </c>
      <c r="D115" t="s">
        <v>455</v>
      </c>
      <c r="E115">
        <v>62000</v>
      </c>
      <c r="F115" t="s">
        <v>255</v>
      </c>
      <c r="G115" t="s">
        <v>209</v>
      </c>
    </row>
    <row r="116" spans="2:7" x14ac:dyDescent="0.55000000000000004">
      <c r="B116" t="s">
        <v>456</v>
      </c>
      <c r="D116" t="s">
        <v>456</v>
      </c>
      <c r="E116">
        <v>62260</v>
      </c>
      <c r="F116" t="s">
        <v>246</v>
      </c>
      <c r="G116" t="s">
        <v>241</v>
      </c>
    </row>
    <row r="117" spans="2:7" x14ac:dyDescent="0.55000000000000004">
      <c r="B117" t="s">
        <v>457</v>
      </c>
      <c r="D117" t="s">
        <v>457</v>
      </c>
      <c r="E117">
        <v>62770</v>
      </c>
      <c r="F117" t="s">
        <v>259</v>
      </c>
      <c r="G117" t="s">
        <v>261</v>
      </c>
    </row>
    <row r="118" spans="2:7" x14ac:dyDescent="0.55000000000000004">
      <c r="B118" t="s">
        <v>458</v>
      </c>
      <c r="D118" t="s">
        <v>458</v>
      </c>
      <c r="E118">
        <v>62890</v>
      </c>
      <c r="F118" t="s">
        <v>227</v>
      </c>
      <c r="G118" t="s">
        <v>251</v>
      </c>
    </row>
    <row r="119" spans="2:7" x14ac:dyDescent="0.55000000000000004">
      <c r="B119" t="s">
        <v>459</v>
      </c>
      <c r="D119" t="s">
        <v>459</v>
      </c>
      <c r="E119">
        <v>62390</v>
      </c>
      <c r="F119" t="s">
        <v>267</v>
      </c>
      <c r="G119" t="s">
        <v>268</v>
      </c>
    </row>
    <row r="120" spans="2:7" x14ac:dyDescent="0.55000000000000004">
      <c r="B120" t="s">
        <v>460</v>
      </c>
      <c r="D120" t="s">
        <v>460</v>
      </c>
      <c r="E120">
        <v>62127</v>
      </c>
      <c r="F120" t="s">
        <v>211</v>
      </c>
      <c r="G120" t="s">
        <v>269</v>
      </c>
    </row>
    <row r="121" spans="2:7" x14ac:dyDescent="0.55000000000000004">
      <c r="B121" t="s">
        <v>461</v>
      </c>
      <c r="D121" t="s">
        <v>461</v>
      </c>
      <c r="E121">
        <v>62210</v>
      </c>
      <c r="F121" t="s">
        <v>259</v>
      </c>
      <c r="G121" t="s">
        <v>256</v>
      </c>
    </row>
    <row r="122" spans="2:7" x14ac:dyDescent="0.55000000000000004">
      <c r="B122" t="s">
        <v>462</v>
      </c>
      <c r="D122" t="s">
        <v>462</v>
      </c>
      <c r="E122">
        <v>62560</v>
      </c>
      <c r="F122" t="s">
        <v>199</v>
      </c>
      <c r="G122" t="s">
        <v>272</v>
      </c>
    </row>
    <row r="123" spans="2:7" x14ac:dyDescent="0.55000000000000004">
      <c r="B123" t="s">
        <v>463</v>
      </c>
      <c r="D123" t="s">
        <v>463</v>
      </c>
      <c r="E123">
        <v>62360</v>
      </c>
      <c r="F123" t="s">
        <v>280</v>
      </c>
      <c r="G123" t="s">
        <v>281</v>
      </c>
    </row>
    <row r="124" spans="2:7" x14ac:dyDescent="0.55000000000000004">
      <c r="B124" t="s">
        <v>464</v>
      </c>
      <c r="D124" t="s">
        <v>464</v>
      </c>
      <c r="E124">
        <v>62860</v>
      </c>
      <c r="F124" t="s">
        <v>276</v>
      </c>
      <c r="G124" t="s">
        <v>285</v>
      </c>
    </row>
    <row r="125" spans="2:7" x14ac:dyDescent="0.55000000000000004">
      <c r="B125" t="s">
        <v>465</v>
      </c>
      <c r="D125" t="s">
        <v>465</v>
      </c>
      <c r="E125">
        <v>62124</v>
      </c>
      <c r="F125" t="s">
        <v>286</v>
      </c>
      <c r="G125" t="s">
        <v>287</v>
      </c>
    </row>
    <row r="126" spans="2:7" x14ac:dyDescent="0.55000000000000004">
      <c r="B126" t="s">
        <v>466</v>
      </c>
      <c r="D126" t="s">
        <v>466</v>
      </c>
      <c r="E126">
        <v>62620</v>
      </c>
      <c r="F126" t="s">
        <v>248</v>
      </c>
      <c r="G126" t="s">
        <v>247</v>
      </c>
    </row>
    <row r="127" spans="2:7" x14ac:dyDescent="0.55000000000000004">
      <c r="B127" t="s">
        <v>467</v>
      </c>
      <c r="D127" t="s">
        <v>467</v>
      </c>
      <c r="E127">
        <v>62380</v>
      </c>
      <c r="F127" t="s">
        <v>290</v>
      </c>
      <c r="G127" t="s">
        <v>265</v>
      </c>
    </row>
    <row r="128" spans="2:7" x14ac:dyDescent="0.55000000000000004">
      <c r="B128" t="s">
        <v>468</v>
      </c>
      <c r="D128" t="s">
        <v>468</v>
      </c>
      <c r="E128">
        <v>62770</v>
      </c>
      <c r="F128" t="s">
        <v>221</v>
      </c>
      <c r="G128" t="s">
        <v>268</v>
      </c>
    </row>
    <row r="129" spans="2:7" x14ac:dyDescent="0.55000000000000004">
      <c r="B129" t="s">
        <v>469</v>
      </c>
      <c r="D129" t="s">
        <v>469</v>
      </c>
      <c r="E129">
        <v>62217</v>
      </c>
      <c r="F129" t="s">
        <v>207</v>
      </c>
      <c r="G129" t="s">
        <v>209</v>
      </c>
    </row>
    <row r="130" spans="2:7" x14ac:dyDescent="0.55000000000000004">
      <c r="B130" t="s">
        <v>470</v>
      </c>
      <c r="D130" t="s">
        <v>470</v>
      </c>
      <c r="E130">
        <v>62990</v>
      </c>
      <c r="F130" t="s">
        <v>226</v>
      </c>
      <c r="G130" t="s">
        <v>282</v>
      </c>
    </row>
    <row r="131" spans="2:7" x14ac:dyDescent="0.55000000000000004">
      <c r="B131" t="s">
        <v>471</v>
      </c>
      <c r="D131" t="s">
        <v>471</v>
      </c>
      <c r="E131">
        <v>62142</v>
      </c>
      <c r="F131" t="s">
        <v>231</v>
      </c>
      <c r="G131" t="s">
        <v>293</v>
      </c>
    </row>
    <row r="132" spans="2:7" x14ac:dyDescent="0.55000000000000004">
      <c r="B132" t="s">
        <v>472</v>
      </c>
      <c r="D132" t="s">
        <v>472</v>
      </c>
      <c r="E132">
        <v>62142</v>
      </c>
      <c r="F132" t="s">
        <v>235</v>
      </c>
      <c r="G132" t="s">
        <v>258</v>
      </c>
    </row>
    <row r="133" spans="2:7" x14ac:dyDescent="0.55000000000000004">
      <c r="B133" t="s">
        <v>473</v>
      </c>
      <c r="D133" t="s">
        <v>473</v>
      </c>
      <c r="E133">
        <v>62490</v>
      </c>
      <c r="F133" t="s">
        <v>217</v>
      </c>
      <c r="G133" t="s">
        <v>285</v>
      </c>
    </row>
    <row r="134" spans="2:7" x14ac:dyDescent="0.55000000000000004">
      <c r="B134" t="s">
        <v>474</v>
      </c>
      <c r="D134" t="s">
        <v>474</v>
      </c>
      <c r="E134">
        <v>62134</v>
      </c>
      <c r="F134" t="s">
        <v>238</v>
      </c>
      <c r="G134" t="s">
        <v>249</v>
      </c>
    </row>
    <row r="135" spans="2:7" x14ac:dyDescent="0.55000000000000004">
      <c r="B135" t="s">
        <v>475</v>
      </c>
      <c r="D135" t="s">
        <v>475</v>
      </c>
      <c r="E135">
        <v>62330</v>
      </c>
      <c r="F135" t="s">
        <v>294</v>
      </c>
      <c r="G135" t="s">
        <v>241</v>
      </c>
    </row>
    <row r="136" spans="2:7" x14ac:dyDescent="0.55000000000000004">
      <c r="B136" t="s">
        <v>476</v>
      </c>
      <c r="D136" t="s">
        <v>476</v>
      </c>
      <c r="E136">
        <v>62810</v>
      </c>
      <c r="F136" t="s">
        <v>255</v>
      </c>
      <c r="G136" t="s">
        <v>295</v>
      </c>
    </row>
    <row r="137" spans="2:7" x14ac:dyDescent="0.55000000000000004">
      <c r="B137" t="s">
        <v>477</v>
      </c>
      <c r="D137" t="s">
        <v>477</v>
      </c>
      <c r="E137">
        <v>62130</v>
      </c>
      <c r="F137" t="s">
        <v>226</v>
      </c>
      <c r="G137" t="s">
        <v>291</v>
      </c>
    </row>
    <row r="138" spans="2:7" x14ac:dyDescent="0.55000000000000004">
      <c r="B138" t="s">
        <v>478</v>
      </c>
      <c r="D138" t="s">
        <v>478</v>
      </c>
      <c r="E138">
        <v>62150</v>
      </c>
      <c r="F138" t="s">
        <v>248</v>
      </c>
      <c r="G138" t="s">
        <v>299</v>
      </c>
    </row>
    <row r="139" spans="2:7" x14ac:dyDescent="0.55000000000000004">
      <c r="B139" t="s">
        <v>479</v>
      </c>
      <c r="D139" t="s">
        <v>479</v>
      </c>
      <c r="E139">
        <v>62450</v>
      </c>
      <c r="F139" t="s">
        <v>198</v>
      </c>
      <c r="G139" t="s">
        <v>206</v>
      </c>
    </row>
    <row r="140" spans="2:7" x14ac:dyDescent="0.55000000000000004">
      <c r="B140" t="s">
        <v>480</v>
      </c>
      <c r="D140" t="s">
        <v>480</v>
      </c>
      <c r="E140">
        <v>62650</v>
      </c>
      <c r="F140" t="s">
        <v>294</v>
      </c>
      <c r="G140" t="s">
        <v>230</v>
      </c>
    </row>
    <row r="141" spans="2:7" x14ac:dyDescent="0.55000000000000004">
      <c r="B141" t="s">
        <v>481</v>
      </c>
      <c r="D141" t="s">
        <v>481</v>
      </c>
      <c r="E141">
        <v>62650</v>
      </c>
      <c r="F141" t="s">
        <v>242</v>
      </c>
      <c r="G141" t="s">
        <v>282</v>
      </c>
    </row>
    <row r="142" spans="2:7" x14ac:dyDescent="0.55000000000000004">
      <c r="B142" t="s">
        <v>482</v>
      </c>
      <c r="D142" t="s">
        <v>482</v>
      </c>
      <c r="E142">
        <v>62380</v>
      </c>
      <c r="F142" t="s">
        <v>308</v>
      </c>
      <c r="G142" t="s">
        <v>251</v>
      </c>
    </row>
    <row r="143" spans="2:7" x14ac:dyDescent="0.55000000000000004">
      <c r="B143" t="s">
        <v>483</v>
      </c>
      <c r="D143" t="s">
        <v>483</v>
      </c>
      <c r="E143">
        <v>62175</v>
      </c>
      <c r="F143" t="s">
        <v>296</v>
      </c>
      <c r="G143" t="s">
        <v>208</v>
      </c>
    </row>
    <row r="144" spans="2:7" x14ac:dyDescent="0.55000000000000004">
      <c r="B144" t="s">
        <v>484</v>
      </c>
      <c r="D144" t="s">
        <v>484</v>
      </c>
      <c r="E144">
        <v>62500</v>
      </c>
      <c r="F144" t="s">
        <v>235</v>
      </c>
      <c r="G144" t="s">
        <v>261</v>
      </c>
    </row>
    <row r="145" spans="2:7" x14ac:dyDescent="0.55000000000000004">
      <c r="B145" t="s">
        <v>485</v>
      </c>
      <c r="D145" t="s">
        <v>485</v>
      </c>
      <c r="E145">
        <v>62890</v>
      </c>
      <c r="F145" t="s">
        <v>227</v>
      </c>
      <c r="G145" t="s">
        <v>315</v>
      </c>
    </row>
    <row r="146" spans="2:7" x14ac:dyDescent="0.55000000000000004">
      <c r="B146" t="s">
        <v>486</v>
      </c>
      <c r="D146" t="s">
        <v>486</v>
      </c>
      <c r="E146">
        <v>62990</v>
      </c>
      <c r="F146" t="s">
        <v>238</v>
      </c>
      <c r="G146" t="s">
        <v>284</v>
      </c>
    </row>
    <row r="147" spans="2:7" x14ac:dyDescent="0.55000000000000004">
      <c r="B147" t="s">
        <v>487</v>
      </c>
      <c r="D147" t="s">
        <v>487</v>
      </c>
      <c r="E147">
        <v>62270</v>
      </c>
      <c r="F147" t="s">
        <v>255</v>
      </c>
      <c r="G147" t="s">
        <v>291</v>
      </c>
    </row>
    <row r="148" spans="2:7" x14ac:dyDescent="0.55000000000000004">
      <c r="B148" t="s">
        <v>488</v>
      </c>
      <c r="D148" t="s">
        <v>488</v>
      </c>
      <c r="E148">
        <v>62140</v>
      </c>
      <c r="F148" t="s">
        <v>203</v>
      </c>
      <c r="G148" t="s">
        <v>251</v>
      </c>
    </row>
    <row r="149" spans="2:7" x14ac:dyDescent="0.55000000000000004">
      <c r="B149" t="s">
        <v>489</v>
      </c>
      <c r="D149" t="s">
        <v>489</v>
      </c>
      <c r="E149">
        <v>62650</v>
      </c>
      <c r="F149" t="s">
        <v>294</v>
      </c>
      <c r="G149" t="s">
        <v>257</v>
      </c>
    </row>
    <row r="150" spans="2:7" x14ac:dyDescent="0.55000000000000004">
      <c r="B150" t="s">
        <v>94</v>
      </c>
      <c r="D150" t="s">
        <v>94</v>
      </c>
      <c r="E150">
        <v>62117</v>
      </c>
      <c r="F150" t="s">
        <v>277</v>
      </c>
      <c r="G150" t="s">
        <v>197</v>
      </c>
    </row>
    <row r="151" spans="2:7" x14ac:dyDescent="0.55000000000000004">
      <c r="B151" t="s">
        <v>490</v>
      </c>
      <c r="D151" t="s">
        <v>490</v>
      </c>
      <c r="E151">
        <v>62140</v>
      </c>
      <c r="F151" t="s">
        <v>211</v>
      </c>
      <c r="G151" t="s">
        <v>315</v>
      </c>
    </row>
    <row r="152" spans="2:7" x14ac:dyDescent="0.55000000000000004">
      <c r="B152" t="s">
        <v>491</v>
      </c>
      <c r="D152" t="s">
        <v>491</v>
      </c>
      <c r="E152">
        <v>62170</v>
      </c>
      <c r="F152" t="s">
        <v>229</v>
      </c>
      <c r="G152" t="s">
        <v>321</v>
      </c>
    </row>
    <row r="153" spans="2:7" x14ac:dyDescent="0.55000000000000004">
      <c r="B153" t="s">
        <v>492</v>
      </c>
      <c r="D153" t="s">
        <v>492</v>
      </c>
      <c r="E153">
        <v>62170</v>
      </c>
      <c r="F153" t="s">
        <v>248</v>
      </c>
      <c r="G153" t="s">
        <v>319</v>
      </c>
    </row>
    <row r="154" spans="2:7" x14ac:dyDescent="0.55000000000000004">
      <c r="B154" t="s">
        <v>493</v>
      </c>
      <c r="D154" t="s">
        <v>493</v>
      </c>
      <c r="E154">
        <v>62240</v>
      </c>
      <c r="F154" t="s">
        <v>280</v>
      </c>
      <c r="G154" t="s">
        <v>282</v>
      </c>
    </row>
    <row r="155" spans="2:7" x14ac:dyDescent="0.55000000000000004">
      <c r="B155" t="s">
        <v>494</v>
      </c>
      <c r="D155" t="s">
        <v>494</v>
      </c>
      <c r="E155">
        <v>62390</v>
      </c>
      <c r="F155" t="s">
        <v>207</v>
      </c>
      <c r="G155" t="s">
        <v>272</v>
      </c>
    </row>
    <row r="156" spans="2:7" x14ac:dyDescent="0.55000000000000004">
      <c r="B156" t="s">
        <v>495</v>
      </c>
      <c r="D156" t="s">
        <v>495</v>
      </c>
      <c r="E156">
        <v>62870</v>
      </c>
      <c r="F156" t="s">
        <v>203</v>
      </c>
      <c r="G156" t="s">
        <v>319</v>
      </c>
    </row>
    <row r="157" spans="2:7" x14ac:dyDescent="0.55000000000000004">
      <c r="B157" t="s">
        <v>496</v>
      </c>
      <c r="D157" t="s">
        <v>496</v>
      </c>
      <c r="E157">
        <v>62151</v>
      </c>
      <c r="F157" t="s">
        <v>233</v>
      </c>
      <c r="G157" t="s">
        <v>241</v>
      </c>
    </row>
    <row r="158" spans="2:7" x14ac:dyDescent="0.55000000000000004">
      <c r="B158" t="s">
        <v>497</v>
      </c>
      <c r="D158" t="s">
        <v>497</v>
      </c>
      <c r="E158">
        <v>62350</v>
      </c>
      <c r="F158" t="s">
        <v>223</v>
      </c>
      <c r="G158" t="s">
        <v>299</v>
      </c>
    </row>
    <row r="159" spans="2:7" x14ac:dyDescent="0.55000000000000004">
      <c r="B159" t="s">
        <v>498</v>
      </c>
      <c r="D159" t="s">
        <v>498</v>
      </c>
      <c r="E159">
        <v>62132</v>
      </c>
      <c r="F159" t="s">
        <v>266</v>
      </c>
      <c r="G159" t="s">
        <v>232</v>
      </c>
    </row>
    <row r="160" spans="2:7" x14ac:dyDescent="0.55000000000000004">
      <c r="B160" t="s">
        <v>499</v>
      </c>
      <c r="D160" t="s">
        <v>499</v>
      </c>
      <c r="E160">
        <v>62100</v>
      </c>
      <c r="F160" t="s">
        <v>325</v>
      </c>
      <c r="G160" t="s">
        <v>319</v>
      </c>
    </row>
    <row r="161" spans="2:7" x14ac:dyDescent="0.55000000000000004">
      <c r="B161" t="s">
        <v>500</v>
      </c>
      <c r="D161" t="s">
        <v>500</v>
      </c>
      <c r="E161">
        <v>62170</v>
      </c>
      <c r="F161" t="s">
        <v>248</v>
      </c>
      <c r="G161" t="s">
        <v>321</v>
      </c>
    </row>
    <row r="162" spans="2:7" x14ac:dyDescent="0.55000000000000004">
      <c r="B162" t="s">
        <v>501</v>
      </c>
      <c r="D162" t="s">
        <v>501</v>
      </c>
      <c r="E162">
        <v>62270</v>
      </c>
      <c r="F162" t="s">
        <v>255</v>
      </c>
      <c r="G162" t="s">
        <v>260</v>
      </c>
    </row>
    <row r="163" spans="2:7" x14ac:dyDescent="0.55000000000000004">
      <c r="B163" t="s">
        <v>502</v>
      </c>
      <c r="D163" t="s">
        <v>502</v>
      </c>
      <c r="E163">
        <v>62220</v>
      </c>
      <c r="F163" t="s">
        <v>224</v>
      </c>
      <c r="G163" t="s">
        <v>324</v>
      </c>
    </row>
    <row r="164" spans="2:7" x14ac:dyDescent="0.55000000000000004">
      <c r="B164" t="s">
        <v>503</v>
      </c>
      <c r="D164" t="s">
        <v>503</v>
      </c>
      <c r="E164">
        <v>62140</v>
      </c>
      <c r="F164" t="s">
        <v>255</v>
      </c>
      <c r="G164" t="s">
        <v>320</v>
      </c>
    </row>
    <row r="165" spans="2:7" x14ac:dyDescent="0.55000000000000004">
      <c r="B165" t="s">
        <v>504</v>
      </c>
      <c r="D165" t="s">
        <v>504</v>
      </c>
      <c r="E165">
        <v>62127</v>
      </c>
      <c r="F165" t="s">
        <v>252</v>
      </c>
      <c r="G165" t="s">
        <v>283</v>
      </c>
    </row>
    <row r="166" spans="2:7" x14ac:dyDescent="0.55000000000000004">
      <c r="B166" t="s">
        <v>505</v>
      </c>
      <c r="D166" t="s">
        <v>505</v>
      </c>
      <c r="E166">
        <v>62140</v>
      </c>
      <c r="F166" t="s">
        <v>240</v>
      </c>
      <c r="G166" t="s">
        <v>320</v>
      </c>
    </row>
    <row r="167" spans="2:7" x14ac:dyDescent="0.55000000000000004">
      <c r="B167" t="s">
        <v>506</v>
      </c>
      <c r="D167" t="s">
        <v>506</v>
      </c>
      <c r="E167">
        <v>62890</v>
      </c>
      <c r="F167" t="s">
        <v>236</v>
      </c>
      <c r="G167">
        <v>2</v>
      </c>
    </row>
    <row r="168" spans="2:7" x14ac:dyDescent="0.55000000000000004">
      <c r="B168" t="s">
        <v>507</v>
      </c>
      <c r="D168" t="s">
        <v>507</v>
      </c>
      <c r="E168">
        <v>62270</v>
      </c>
      <c r="F168" t="s">
        <v>217</v>
      </c>
      <c r="G168" t="s">
        <v>311</v>
      </c>
    </row>
    <row r="169" spans="2:7" x14ac:dyDescent="0.55000000000000004">
      <c r="B169" t="s">
        <v>508</v>
      </c>
      <c r="D169" t="s">
        <v>508</v>
      </c>
      <c r="E169">
        <v>62360</v>
      </c>
      <c r="F169" t="s">
        <v>327</v>
      </c>
      <c r="G169" t="s">
        <v>329</v>
      </c>
    </row>
    <row r="170" spans="2:7" x14ac:dyDescent="0.55000000000000004">
      <c r="B170" t="s">
        <v>509</v>
      </c>
      <c r="D170" t="s">
        <v>509</v>
      </c>
      <c r="E170">
        <v>62990</v>
      </c>
      <c r="F170" t="s">
        <v>259</v>
      </c>
      <c r="G170" t="s">
        <v>270</v>
      </c>
    </row>
    <row r="171" spans="2:7" x14ac:dyDescent="0.55000000000000004">
      <c r="B171" t="s">
        <v>510</v>
      </c>
      <c r="D171" t="s">
        <v>510</v>
      </c>
      <c r="E171">
        <v>62231</v>
      </c>
      <c r="F171" t="s">
        <v>330</v>
      </c>
      <c r="G171" t="s">
        <v>232</v>
      </c>
    </row>
    <row r="172" spans="2:7" x14ac:dyDescent="0.55000000000000004">
      <c r="B172" t="s">
        <v>511</v>
      </c>
      <c r="D172" t="s">
        <v>511</v>
      </c>
      <c r="E172">
        <v>62760</v>
      </c>
      <c r="F172" t="s">
        <v>196</v>
      </c>
      <c r="G172" t="s">
        <v>200</v>
      </c>
    </row>
    <row r="173" spans="2:7" x14ac:dyDescent="0.55000000000000004">
      <c r="B173" t="s">
        <v>512</v>
      </c>
      <c r="D173" t="s">
        <v>512</v>
      </c>
      <c r="E173">
        <v>62137</v>
      </c>
      <c r="F173" t="s">
        <v>331</v>
      </c>
      <c r="G173" t="s">
        <v>228</v>
      </c>
    </row>
    <row r="174" spans="2:7" x14ac:dyDescent="0.55000000000000004">
      <c r="B174" t="s">
        <v>513</v>
      </c>
      <c r="D174" t="s">
        <v>513</v>
      </c>
      <c r="E174">
        <v>62380</v>
      </c>
      <c r="F174" t="s">
        <v>290</v>
      </c>
      <c r="G174">
        <v>2</v>
      </c>
    </row>
    <row r="175" spans="2:7" x14ac:dyDescent="0.55000000000000004">
      <c r="B175" t="s">
        <v>514</v>
      </c>
      <c r="D175" t="s">
        <v>514</v>
      </c>
      <c r="E175">
        <v>62310</v>
      </c>
      <c r="F175" t="s">
        <v>233</v>
      </c>
      <c r="G175" t="s">
        <v>261</v>
      </c>
    </row>
    <row r="176" spans="2:7" x14ac:dyDescent="0.55000000000000004">
      <c r="B176" t="s">
        <v>515</v>
      </c>
      <c r="D176" t="s">
        <v>515</v>
      </c>
      <c r="E176">
        <v>62240</v>
      </c>
      <c r="F176" t="s">
        <v>327</v>
      </c>
      <c r="G176" t="s">
        <v>319</v>
      </c>
    </row>
    <row r="177" spans="2:7" x14ac:dyDescent="0.55000000000000004">
      <c r="B177" t="s">
        <v>516</v>
      </c>
      <c r="D177" t="s">
        <v>516</v>
      </c>
      <c r="E177">
        <v>62240</v>
      </c>
      <c r="F177" t="s">
        <v>290</v>
      </c>
      <c r="G177" t="s">
        <v>293</v>
      </c>
    </row>
    <row r="178" spans="2:7" x14ac:dyDescent="0.55000000000000004">
      <c r="B178" t="s">
        <v>517</v>
      </c>
      <c r="D178" t="s">
        <v>517</v>
      </c>
      <c r="E178">
        <v>62310</v>
      </c>
      <c r="F178" t="s">
        <v>224</v>
      </c>
      <c r="G178" t="s">
        <v>311</v>
      </c>
    </row>
    <row r="179" spans="2:7" x14ac:dyDescent="0.55000000000000004">
      <c r="B179" t="s">
        <v>518</v>
      </c>
      <c r="D179" t="s">
        <v>518</v>
      </c>
      <c r="E179">
        <v>62310</v>
      </c>
      <c r="F179" t="s">
        <v>224</v>
      </c>
      <c r="G179" t="s">
        <v>332</v>
      </c>
    </row>
    <row r="180" spans="2:7" x14ac:dyDescent="0.55000000000000004">
      <c r="B180" t="s">
        <v>519</v>
      </c>
      <c r="D180" t="s">
        <v>519</v>
      </c>
      <c r="E180">
        <v>62130</v>
      </c>
      <c r="F180" t="s">
        <v>211</v>
      </c>
      <c r="G180" t="s">
        <v>249</v>
      </c>
    </row>
    <row r="181" spans="2:7" x14ac:dyDescent="0.55000000000000004">
      <c r="B181" t="s">
        <v>520</v>
      </c>
      <c r="D181" t="s">
        <v>520</v>
      </c>
      <c r="E181">
        <v>62128</v>
      </c>
      <c r="F181" t="s">
        <v>296</v>
      </c>
      <c r="G181" t="s">
        <v>206</v>
      </c>
    </row>
    <row r="182" spans="2:7" x14ac:dyDescent="0.55000000000000004">
      <c r="B182" t="s">
        <v>521</v>
      </c>
      <c r="D182" t="s">
        <v>521</v>
      </c>
      <c r="E182">
        <v>62780</v>
      </c>
      <c r="F182" t="s">
        <v>224</v>
      </c>
      <c r="G182" t="s">
        <v>316</v>
      </c>
    </row>
    <row r="183" spans="2:7" x14ac:dyDescent="0.55000000000000004">
      <c r="B183" t="s">
        <v>522</v>
      </c>
      <c r="D183" t="s">
        <v>522</v>
      </c>
      <c r="E183">
        <v>62560</v>
      </c>
      <c r="F183" t="s">
        <v>314</v>
      </c>
      <c r="G183" t="s">
        <v>272</v>
      </c>
    </row>
    <row r="184" spans="2:7" x14ac:dyDescent="0.55000000000000004">
      <c r="B184" t="s">
        <v>523</v>
      </c>
      <c r="D184" t="s">
        <v>523</v>
      </c>
      <c r="E184">
        <v>62460</v>
      </c>
      <c r="F184" t="s">
        <v>221</v>
      </c>
      <c r="G184" t="s">
        <v>269</v>
      </c>
    </row>
    <row r="185" spans="2:7" x14ac:dyDescent="0.55000000000000004">
      <c r="B185" t="s">
        <v>524</v>
      </c>
      <c r="D185" t="s">
        <v>524</v>
      </c>
      <c r="E185">
        <v>62460</v>
      </c>
      <c r="F185" t="s">
        <v>238</v>
      </c>
      <c r="G185" t="s">
        <v>234</v>
      </c>
    </row>
    <row r="186" spans="2:7" x14ac:dyDescent="0.55000000000000004">
      <c r="B186" t="s">
        <v>525</v>
      </c>
      <c r="D186" t="s">
        <v>525</v>
      </c>
      <c r="E186">
        <v>62830</v>
      </c>
      <c r="F186" t="s">
        <v>309</v>
      </c>
      <c r="G186" t="s">
        <v>319</v>
      </c>
    </row>
    <row r="187" spans="2:7" x14ac:dyDescent="0.55000000000000004">
      <c r="B187" t="s">
        <v>526</v>
      </c>
      <c r="D187" t="s">
        <v>526</v>
      </c>
      <c r="E187">
        <v>62138</v>
      </c>
      <c r="F187" t="s">
        <v>229</v>
      </c>
      <c r="G187" t="s">
        <v>256</v>
      </c>
    </row>
    <row r="188" spans="2:7" x14ac:dyDescent="0.55000000000000004">
      <c r="B188" t="s">
        <v>527</v>
      </c>
      <c r="D188" t="s">
        <v>527</v>
      </c>
      <c r="E188">
        <v>62161</v>
      </c>
      <c r="F188" t="s">
        <v>217</v>
      </c>
      <c r="G188" t="s">
        <v>301</v>
      </c>
    </row>
    <row r="189" spans="2:7" x14ac:dyDescent="0.55000000000000004">
      <c r="B189" t="s">
        <v>528</v>
      </c>
      <c r="D189" t="s">
        <v>528</v>
      </c>
      <c r="E189">
        <v>62860</v>
      </c>
      <c r="F189" t="s">
        <v>288</v>
      </c>
      <c r="G189" t="s">
        <v>202</v>
      </c>
    </row>
    <row r="190" spans="2:7" x14ac:dyDescent="0.55000000000000004">
      <c r="B190" t="s">
        <v>529</v>
      </c>
      <c r="D190" t="s">
        <v>529</v>
      </c>
      <c r="E190">
        <v>62128</v>
      </c>
      <c r="F190" t="s">
        <v>213</v>
      </c>
      <c r="G190" t="s">
        <v>312</v>
      </c>
    </row>
    <row r="191" spans="2:7" x14ac:dyDescent="0.55000000000000004">
      <c r="B191" t="s">
        <v>530</v>
      </c>
      <c r="D191" t="s">
        <v>530</v>
      </c>
      <c r="E191">
        <v>62190</v>
      </c>
      <c r="F191" t="s">
        <v>314</v>
      </c>
      <c r="G191" t="s">
        <v>269</v>
      </c>
    </row>
    <row r="192" spans="2:7" x14ac:dyDescent="0.55000000000000004">
      <c r="B192" t="s">
        <v>531</v>
      </c>
      <c r="D192" t="s">
        <v>531</v>
      </c>
      <c r="E192">
        <v>62170</v>
      </c>
      <c r="F192" t="s">
        <v>248</v>
      </c>
      <c r="G192" t="s">
        <v>297</v>
      </c>
    </row>
    <row r="193" spans="2:7" x14ac:dyDescent="0.55000000000000004">
      <c r="B193" t="s">
        <v>532</v>
      </c>
      <c r="D193" t="s">
        <v>532</v>
      </c>
      <c r="E193">
        <v>62300</v>
      </c>
      <c r="F193" t="s">
        <v>226</v>
      </c>
      <c r="G193" t="s">
        <v>303</v>
      </c>
    </row>
    <row r="194" spans="2:7" x14ac:dyDescent="0.55000000000000004">
      <c r="B194" t="s">
        <v>533</v>
      </c>
      <c r="D194" t="s">
        <v>533</v>
      </c>
      <c r="E194">
        <v>62990</v>
      </c>
      <c r="F194" t="s">
        <v>224</v>
      </c>
      <c r="G194" t="s">
        <v>270</v>
      </c>
    </row>
    <row r="195" spans="2:7" x14ac:dyDescent="0.55000000000000004">
      <c r="B195" t="s">
        <v>534</v>
      </c>
      <c r="D195" t="s">
        <v>534</v>
      </c>
      <c r="E195">
        <v>62960</v>
      </c>
      <c r="F195" t="s">
        <v>223</v>
      </c>
      <c r="G195" t="s">
        <v>249</v>
      </c>
    </row>
    <row r="196" spans="2:7" x14ac:dyDescent="0.55000000000000004">
      <c r="B196" t="s">
        <v>535</v>
      </c>
      <c r="D196" t="s">
        <v>535</v>
      </c>
      <c r="E196">
        <v>62380</v>
      </c>
      <c r="F196" t="s">
        <v>290</v>
      </c>
      <c r="G196" t="s">
        <v>239</v>
      </c>
    </row>
    <row r="197" spans="2:7" x14ac:dyDescent="0.55000000000000004">
      <c r="B197" t="s">
        <v>536</v>
      </c>
      <c r="D197" t="s">
        <v>536</v>
      </c>
      <c r="E197">
        <v>62400</v>
      </c>
      <c r="F197" t="s">
        <v>242</v>
      </c>
      <c r="G197" t="s">
        <v>218</v>
      </c>
    </row>
    <row r="198" spans="2:7" x14ac:dyDescent="0.55000000000000004">
      <c r="B198" t="s">
        <v>537</v>
      </c>
      <c r="D198" t="s">
        <v>537</v>
      </c>
      <c r="E198">
        <v>62880</v>
      </c>
      <c r="F198" t="s">
        <v>238</v>
      </c>
      <c r="G198" t="s">
        <v>312</v>
      </c>
    </row>
    <row r="199" spans="2:7" x14ac:dyDescent="0.55000000000000004">
      <c r="B199" t="s">
        <v>538</v>
      </c>
      <c r="D199" t="s">
        <v>538</v>
      </c>
      <c r="E199">
        <v>62170</v>
      </c>
      <c r="F199" t="s">
        <v>246</v>
      </c>
      <c r="G199" t="s">
        <v>293</v>
      </c>
    </row>
    <row r="200" spans="2:7" x14ac:dyDescent="0.55000000000000004">
      <c r="B200" t="s">
        <v>539</v>
      </c>
      <c r="D200" t="s">
        <v>539</v>
      </c>
      <c r="E200">
        <v>62690</v>
      </c>
      <c r="F200" t="s">
        <v>259</v>
      </c>
      <c r="G200" t="s">
        <v>247</v>
      </c>
    </row>
    <row r="201" spans="2:7" x14ac:dyDescent="0.55000000000000004">
      <c r="B201" t="s">
        <v>540</v>
      </c>
      <c r="D201" t="s">
        <v>540</v>
      </c>
      <c r="E201">
        <v>62156</v>
      </c>
      <c r="F201" t="s">
        <v>207</v>
      </c>
      <c r="G201">
        <v>3</v>
      </c>
    </row>
    <row r="202" spans="2:7" x14ac:dyDescent="0.55000000000000004">
      <c r="B202" t="s">
        <v>541</v>
      </c>
      <c r="D202" t="s">
        <v>541</v>
      </c>
      <c r="E202">
        <v>62161</v>
      </c>
      <c r="F202" t="s">
        <v>240</v>
      </c>
      <c r="G202" t="s">
        <v>214</v>
      </c>
    </row>
    <row r="203" spans="2:7" x14ac:dyDescent="0.55000000000000004">
      <c r="B203" t="s">
        <v>542</v>
      </c>
      <c r="D203" t="s">
        <v>542</v>
      </c>
      <c r="E203">
        <v>62118</v>
      </c>
      <c r="F203" t="s">
        <v>217</v>
      </c>
      <c r="G203" t="s">
        <v>206</v>
      </c>
    </row>
    <row r="204" spans="2:7" x14ac:dyDescent="0.55000000000000004">
      <c r="B204" t="s">
        <v>543</v>
      </c>
      <c r="D204" t="s">
        <v>543</v>
      </c>
      <c r="E204">
        <v>62580</v>
      </c>
      <c r="F204" t="s">
        <v>211</v>
      </c>
      <c r="G204" t="s">
        <v>256</v>
      </c>
    </row>
    <row r="205" spans="2:7" x14ac:dyDescent="0.55000000000000004">
      <c r="B205" t="s">
        <v>544</v>
      </c>
      <c r="D205" t="s">
        <v>544</v>
      </c>
      <c r="E205">
        <v>62450</v>
      </c>
      <c r="F205" t="s">
        <v>198</v>
      </c>
      <c r="G205" t="s">
        <v>278</v>
      </c>
    </row>
    <row r="206" spans="2:7" x14ac:dyDescent="0.55000000000000004">
      <c r="B206" t="s">
        <v>545</v>
      </c>
      <c r="D206" t="s">
        <v>545</v>
      </c>
      <c r="E206">
        <v>62250</v>
      </c>
      <c r="F206" t="s">
        <v>266</v>
      </c>
      <c r="G206" t="s">
        <v>297</v>
      </c>
    </row>
    <row r="207" spans="2:7" x14ac:dyDescent="0.55000000000000004">
      <c r="B207" t="s">
        <v>546</v>
      </c>
      <c r="D207" t="s">
        <v>546</v>
      </c>
      <c r="E207">
        <v>62173</v>
      </c>
      <c r="F207" t="s">
        <v>267</v>
      </c>
      <c r="G207" t="s">
        <v>205</v>
      </c>
    </row>
    <row r="208" spans="2:7" x14ac:dyDescent="0.55000000000000004">
      <c r="B208" t="s">
        <v>547</v>
      </c>
      <c r="D208" t="s">
        <v>547</v>
      </c>
      <c r="E208">
        <v>62134</v>
      </c>
      <c r="F208" t="s">
        <v>246</v>
      </c>
      <c r="G208" t="s">
        <v>334</v>
      </c>
    </row>
    <row r="209" spans="2:7" x14ac:dyDescent="0.55000000000000004">
      <c r="B209" t="s">
        <v>548</v>
      </c>
      <c r="D209" t="s">
        <v>548</v>
      </c>
      <c r="E209">
        <v>62840</v>
      </c>
      <c r="F209" t="s">
        <v>327</v>
      </c>
      <c r="G209" t="s">
        <v>256</v>
      </c>
    </row>
    <row r="210" spans="2:7" x14ac:dyDescent="0.55000000000000004">
      <c r="B210" t="s">
        <v>549</v>
      </c>
      <c r="D210" t="s">
        <v>549</v>
      </c>
      <c r="E210">
        <v>62550</v>
      </c>
      <c r="F210" t="s">
        <v>246</v>
      </c>
      <c r="G210" t="s">
        <v>295</v>
      </c>
    </row>
    <row r="211" spans="2:7" x14ac:dyDescent="0.55000000000000004">
      <c r="B211" t="s">
        <v>550</v>
      </c>
      <c r="D211" t="s">
        <v>550</v>
      </c>
      <c r="E211">
        <v>62550</v>
      </c>
      <c r="F211" t="s">
        <v>233</v>
      </c>
      <c r="G211" t="s">
        <v>323</v>
      </c>
    </row>
    <row r="212" spans="2:7" x14ac:dyDescent="0.55000000000000004">
      <c r="B212" t="s">
        <v>551</v>
      </c>
      <c r="D212" t="s">
        <v>551</v>
      </c>
      <c r="E212">
        <v>62390</v>
      </c>
      <c r="F212" t="s">
        <v>217</v>
      </c>
      <c r="G212" t="s">
        <v>216</v>
      </c>
    </row>
    <row r="213" spans="2:7" x14ac:dyDescent="0.55000000000000004">
      <c r="B213" t="s">
        <v>552</v>
      </c>
      <c r="D213" t="s">
        <v>552</v>
      </c>
      <c r="E213">
        <v>62810</v>
      </c>
      <c r="F213" t="s">
        <v>288</v>
      </c>
      <c r="G213" t="s">
        <v>289</v>
      </c>
    </row>
    <row r="214" spans="2:7" x14ac:dyDescent="0.55000000000000004">
      <c r="B214" t="s">
        <v>553</v>
      </c>
      <c r="D214" t="s">
        <v>553</v>
      </c>
      <c r="E214">
        <v>62232</v>
      </c>
      <c r="F214" t="s">
        <v>229</v>
      </c>
      <c r="G214" t="s">
        <v>219</v>
      </c>
    </row>
    <row r="215" spans="2:7" x14ac:dyDescent="0.55000000000000004">
      <c r="B215" t="s">
        <v>554</v>
      </c>
      <c r="D215" t="s">
        <v>554</v>
      </c>
      <c r="E215">
        <v>62185</v>
      </c>
      <c r="F215" t="s">
        <v>331</v>
      </c>
      <c r="G215" t="s">
        <v>230</v>
      </c>
    </row>
    <row r="216" spans="2:7" x14ac:dyDescent="0.55000000000000004">
      <c r="B216" t="s">
        <v>555</v>
      </c>
      <c r="D216" t="s">
        <v>555</v>
      </c>
      <c r="E216">
        <v>62270</v>
      </c>
      <c r="F216" t="s">
        <v>207</v>
      </c>
      <c r="G216" t="s">
        <v>254</v>
      </c>
    </row>
    <row r="217" spans="2:7" x14ac:dyDescent="0.55000000000000004">
      <c r="B217" t="s">
        <v>556</v>
      </c>
      <c r="D217" t="s">
        <v>556</v>
      </c>
      <c r="E217">
        <v>62810</v>
      </c>
      <c r="F217" t="s">
        <v>217</v>
      </c>
      <c r="G217" t="s">
        <v>234</v>
      </c>
    </row>
    <row r="218" spans="2:7" x14ac:dyDescent="0.55000000000000004">
      <c r="B218" t="s">
        <v>557</v>
      </c>
      <c r="D218" t="s">
        <v>557</v>
      </c>
      <c r="E218">
        <v>62920</v>
      </c>
      <c r="F218" t="s">
        <v>314</v>
      </c>
      <c r="G218" t="s">
        <v>289</v>
      </c>
    </row>
    <row r="219" spans="2:7" x14ac:dyDescent="0.55000000000000004">
      <c r="B219" t="s">
        <v>558</v>
      </c>
      <c r="D219" t="s">
        <v>558</v>
      </c>
      <c r="E219">
        <v>62199</v>
      </c>
      <c r="F219" t="s">
        <v>229</v>
      </c>
      <c r="G219" t="s">
        <v>328</v>
      </c>
    </row>
    <row r="220" spans="2:7" x14ac:dyDescent="0.55000000000000004">
      <c r="B220" t="s">
        <v>559</v>
      </c>
      <c r="D220" t="s">
        <v>559</v>
      </c>
      <c r="E220">
        <v>62123</v>
      </c>
      <c r="F220" t="s">
        <v>288</v>
      </c>
      <c r="G220" t="s">
        <v>328</v>
      </c>
    </row>
    <row r="221" spans="2:7" x14ac:dyDescent="0.55000000000000004">
      <c r="B221" t="s">
        <v>560</v>
      </c>
      <c r="D221" t="s">
        <v>560</v>
      </c>
      <c r="E221">
        <v>62450</v>
      </c>
      <c r="F221" t="s">
        <v>271</v>
      </c>
      <c r="G221" t="s">
        <v>303</v>
      </c>
    </row>
    <row r="222" spans="2:7" x14ac:dyDescent="0.55000000000000004">
      <c r="B222" t="s">
        <v>561</v>
      </c>
      <c r="D222" t="s">
        <v>561</v>
      </c>
      <c r="E222">
        <v>62140</v>
      </c>
      <c r="F222" t="s">
        <v>203</v>
      </c>
      <c r="G222" t="s">
        <v>216</v>
      </c>
    </row>
    <row r="223" spans="2:7" x14ac:dyDescent="0.55000000000000004">
      <c r="B223" t="s">
        <v>562</v>
      </c>
      <c r="D223" t="s">
        <v>562</v>
      </c>
      <c r="E223">
        <v>62600</v>
      </c>
      <c r="F223" t="s">
        <v>203</v>
      </c>
      <c r="G223" t="s">
        <v>316</v>
      </c>
    </row>
    <row r="224" spans="2:7" x14ac:dyDescent="0.55000000000000004">
      <c r="B224" t="s">
        <v>563</v>
      </c>
      <c r="D224" t="s">
        <v>563</v>
      </c>
      <c r="E224">
        <v>62340</v>
      </c>
      <c r="F224" t="s">
        <v>244</v>
      </c>
      <c r="G224" t="s">
        <v>326</v>
      </c>
    </row>
    <row r="225" spans="2:7" x14ac:dyDescent="0.55000000000000004">
      <c r="B225" t="s">
        <v>564</v>
      </c>
      <c r="D225" t="s">
        <v>564</v>
      </c>
      <c r="E225">
        <v>62830</v>
      </c>
      <c r="F225" t="s">
        <v>294</v>
      </c>
      <c r="G225" t="s">
        <v>262</v>
      </c>
    </row>
    <row r="226" spans="2:7" x14ac:dyDescent="0.55000000000000004">
      <c r="B226" t="s">
        <v>565</v>
      </c>
      <c r="D226" t="s">
        <v>565</v>
      </c>
      <c r="E226">
        <v>62121</v>
      </c>
      <c r="F226" t="s">
        <v>213</v>
      </c>
      <c r="G226" t="s">
        <v>303</v>
      </c>
    </row>
    <row r="227" spans="2:7" x14ac:dyDescent="0.55000000000000004">
      <c r="B227" t="s">
        <v>566</v>
      </c>
      <c r="D227" t="s">
        <v>566</v>
      </c>
      <c r="E227">
        <v>62111</v>
      </c>
      <c r="F227" t="s">
        <v>273</v>
      </c>
      <c r="G227" t="s">
        <v>279</v>
      </c>
    </row>
    <row r="228" spans="2:7" x14ac:dyDescent="0.55000000000000004">
      <c r="B228" t="s">
        <v>567</v>
      </c>
      <c r="D228" t="s">
        <v>567</v>
      </c>
      <c r="E228">
        <v>62390</v>
      </c>
      <c r="F228" t="s">
        <v>255</v>
      </c>
      <c r="G228" t="s">
        <v>274</v>
      </c>
    </row>
    <row r="229" spans="2:7" x14ac:dyDescent="0.55000000000000004">
      <c r="B229" t="s">
        <v>568</v>
      </c>
      <c r="D229" t="s">
        <v>568</v>
      </c>
      <c r="E229">
        <v>62144</v>
      </c>
      <c r="F229" t="s">
        <v>277</v>
      </c>
      <c r="G229" t="s">
        <v>279</v>
      </c>
    </row>
    <row r="230" spans="2:7" x14ac:dyDescent="0.55000000000000004">
      <c r="B230" t="s">
        <v>569</v>
      </c>
      <c r="D230" t="s">
        <v>569</v>
      </c>
      <c r="E230">
        <v>62390</v>
      </c>
      <c r="F230" t="s">
        <v>217</v>
      </c>
      <c r="G230" t="s">
        <v>268</v>
      </c>
    </row>
    <row r="231" spans="2:7" x14ac:dyDescent="0.55000000000000004">
      <c r="B231" t="s">
        <v>570</v>
      </c>
      <c r="D231" t="s">
        <v>570</v>
      </c>
      <c r="E231">
        <v>62182</v>
      </c>
      <c r="F231" t="s">
        <v>276</v>
      </c>
      <c r="G231" t="s">
        <v>302</v>
      </c>
    </row>
    <row r="232" spans="2:7" x14ac:dyDescent="0.55000000000000004">
      <c r="B232" t="s">
        <v>571</v>
      </c>
      <c r="D232" t="s">
        <v>571</v>
      </c>
      <c r="E232">
        <v>62175</v>
      </c>
      <c r="F232" t="s">
        <v>296</v>
      </c>
      <c r="G232" t="s">
        <v>205</v>
      </c>
    </row>
    <row r="233" spans="2:7" x14ac:dyDescent="0.55000000000000004">
      <c r="B233" t="s">
        <v>572</v>
      </c>
      <c r="D233" t="s">
        <v>572</v>
      </c>
      <c r="E233">
        <v>62128</v>
      </c>
      <c r="F233" t="s">
        <v>267</v>
      </c>
      <c r="G233" t="s">
        <v>253</v>
      </c>
    </row>
    <row r="234" spans="2:7" x14ac:dyDescent="0.55000000000000004">
      <c r="B234" t="s">
        <v>573</v>
      </c>
      <c r="D234" t="s">
        <v>573</v>
      </c>
      <c r="E234">
        <v>62142</v>
      </c>
      <c r="F234" t="s">
        <v>280</v>
      </c>
      <c r="G234" t="s">
        <v>225</v>
      </c>
    </row>
    <row r="235" spans="2:7" x14ac:dyDescent="0.55000000000000004">
      <c r="B235" t="s">
        <v>574</v>
      </c>
      <c r="D235" t="s">
        <v>574</v>
      </c>
      <c r="E235">
        <v>62130</v>
      </c>
      <c r="F235" t="s">
        <v>211</v>
      </c>
      <c r="G235" t="s">
        <v>310</v>
      </c>
    </row>
    <row r="236" spans="2:7" x14ac:dyDescent="0.55000000000000004">
      <c r="B236" t="s">
        <v>575</v>
      </c>
      <c r="D236" t="s">
        <v>575</v>
      </c>
      <c r="E236">
        <v>62147</v>
      </c>
      <c r="F236" t="s">
        <v>198</v>
      </c>
      <c r="G236" t="s">
        <v>322</v>
      </c>
    </row>
    <row r="237" spans="2:7" x14ac:dyDescent="0.55000000000000004">
      <c r="B237" t="s">
        <v>576</v>
      </c>
      <c r="D237" t="s">
        <v>576</v>
      </c>
      <c r="E237">
        <v>62530</v>
      </c>
      <c r="F237" t="s">
        <v>248</v>
      </c>
      <c r="G237" t="s">
        <v>212</v>
      </c>
    </row>
    <row r="238" spans="2:7" x14ac:dyDescent="0.55000000000000004">
      <c r="B238" t="s">
        <v>577</v>
      </c>
      <c r="D238" t="s">
        <v>577</v>
      </c>
      <c r="E238">
        <v>62990</v>
      </c>
      <c r="F238" t="s">
        <v>248</v>
      </c>
      <c r="G238" t="s">
        <v>284</v>
      </c>
    </row>
    <row r="239" spans="2:7" x14ac:dyDescent="0.55000000000000004">
      <c r="B239" t="s">
        <v>578</v>
      </c>
      <c r="D239" t="s">
        <v>578</v>
      </c>
      <c r="E239">
        <v>62550</v>
      </c>
      <c r="F239" t="s">
        <v>248</v>
      </c>
      <c r="G239" t="s">
        <v>310</v>
      </c>
    </row>
    <row r="240" spans="2:7" x14ac:dyDescent="0.55000000000000004">
      <c r="B240" t="s">
        <v>579</v>
      </c>
      <c r="D240" t="s">
        <v>579</v>
      </c>
      <c r="E240">
        <v>62620</v>
      </c>
      <c r="F240" t="s">
        <v>224</v>
      </c>
      <c r="G240" t="s">
        <v>247</v>
      </c>
    </row>
    <row r="241" spans="2:7" x14ac:dyDescent="0.55000000000000004">
      <c r="B241" t="s">
        <v>580</v>
      </c>
      <c r="D241" t="s">
        <v>580</v>
      </c>
      <c r="E241">
        <v>62910</v>
      </c>
      <c r="F241" t="s">
        <v>236</v>
      </c>
      <c r="G241" t="s">
        <v>306</v>
      </c>
    </row>
    <row r="242" spans="2:7" x14ac:dyDescent="0.55000000000000004">
      <c r="B242" t="s">
        <v>581</v>
      </c>
      <c r="D242" t="s">
        <v>581</v>
      </c>
      <c r="E242">
        <v>62140</v>
      </c>
      <c r="F242" t="s">
        <v>203</v>
      </c>
      <c r="G242" t="s">
        <v>320</v>
      </c>
    </row>
    <row r="243" spans="2:7" x14ac:dyDescent="0.55000000000000004">
      <c r="B243" t="s">
        <v>582</v>
      </c>
      <c r="D243" t="s">
        <v>582</v>
      </c>
      <c r="E243">
        <v>62130</v>
      </c>
      <c r="F243" t="s">
        <v>221</v>
      </c>
      <c r="G243" t="s">
        <v>323</v>
      </c>
    </row>
    <row r="244" spans="2:7" x14ac:dyDescent="0.55000000000000004">
      <c r="B244" t="s">
        <v>583</v>
      </c>
      <c r="D244" t="s">
        <v>583</v>
      </c>
      <c r="E244">
        <v>62410</v>
      </c>
      <c r="F244" t="s">
        <v>224</v>
      </c>
      <c r="G244" t="s">
        <v>303</v>
      </c>
    </row>
    <row r="245" spans="2:7" x14ac:dyDescent="0.55000000000000004">
      <c r="B245" t="s">
        <v>584</v>
      </c>
      <c r="D245" t="s">
        <v>584</v>
      </c>
      <c r="E245">
        <v>62170</v>
      </c>
      <c r="F245" t="s">
        <v>233</v>
      </c>
      <c r="G245" t="s">
        <v>293</v>
      </c>
    </row>
    <row r="246" spans="2:7" x14ac:dyDescent="0.55000000000000004">
      <c r="B246" t="s">
        <v>585</v>
      </c>
      <c r="D246" t="s">
        <v>585</v>
      </c>
      <c r="E246">
        <v>62360</v>
      </c>
      <c r="F246" t="s">
        <v>308</v>
      </c>
      <c r="G246" t="s">
        <v>329</v>
      </c>
    </row>
    <row r="247" spans="2:7" x14ac:dyDescent="0.55000000000000004">
      <c r="B247" t="s">
        <v>586</v>
      </c>
      <c r="D247" t="s">
        <v>586</v>
      </c>
      <c r="E247">
        <v>62700</v>
      </c>
      <c r="F247" t="s">
        <v>224</v>
      </c>
      <c r="G247" t="s">
        <v>289</v>
      </c>
    </row>
    <row r="248" spans="2:7" x14ac:dyDescent="0.55000000000000004">
      <c r="B248" t="s">
        <v>587</v>
      </c>
      <c r="D248" t="s">
        <v>587</v>
      </c>
      <c r="E248">
        <v>62159</v>
      </c>
      <c r="F248" t="s">
        <v>201</v>
      </c>
      <c r="G248" t="s">
        <v>302</v>
      </c>
    </row>
    <row r="249" spans="2:7" x14ac:dyDescent="0.55000000000000004">
      <c r="B249" t="s">
        <v>588</v>
      </c>
      <c r="D249" t="s">
        <v>588</v>
      </c>
      <c r="E249">
        <v>62250</v>
      </c>
      <c r="F249" t="s">
        <v>250</v>
      </c>
      <c r="G249" t="s">
        <v>293</v>
      </c>
    </row>
    <row r="250" spans="2:7" x14ac:dyDescent="0.55000000000000004">
      <c r="B250" t="s">
        <v>589</v>
      </c>
      <c r="D250" t="s">
        <v>589</v>
      </c>
      <c r="E250">
        <v>62610</v>
      </c>
      <c r="F250" t="s">
        <v>263</v>
      </c>
      <c r="G250" t="s">
        <v>270</v>
      </c>
    </row>
    <row r="251" spans="2:7" x14ac:dyDescent="0.55000000000000004">
      <c r="B251" t="s">
        <v>590</v>
      </c>
      <c r="D251" t="s">
        <v>590</v>
      </c>
      <c r="E251">
        <v>62840</v>
      </c>
      <c r="F251" t="s">
        <v>199</v>
      </c>
      <c r="G251" t="s">
        <v>208</v>
      </c>
    </row>
    <row r="252" spans="2:7" x14ac:dyDescent="0.55000000000000004">
      <c r="B252" t="s">
        <v>591</v>
      </c>
      <c r="D252" t="s">
        <v>591</v>
      </c>
      <c r="E252">
        <v>62300</v>
      </c>
      <c r="F252" t="s">
        <v>221</v>
      </c>
      <c r="G252" t="s">
        <v>256</v>
      </c>
    </row>
    <row r="253" spans="2:7" x14ac:dyDescent="0.55000000000000004">
      <c r="B253" t="s">
        <v>592</v>
      </c>
      <c r="D253" t="s">
        <v>592</v>
      </c>
      <c r="E253">
        <v>62190</v>
      </c>
      <c r="F253" t="s">
        <v>314</v>
      </c>
      <c r="G253" t="s">
        <v>243</v>
      </c>
    </row>
    <row r="254" spans="2:7" x14ac:dyDescent="0.55000000000000004">
      <c r="B254" t="s">
        <v>593</v>
      </c>
      <c r="D254" t="s">
        <v>593</v>
      </c>
      <c r="E254">
        <v>62500</v>
      </c>
      <c r="F254" t="s">
        <v>231</v>
      </c>
      <c r="G254" t="s">
        <v>306</v>
      </c>
    </row>
    <row r="255" spans="2:7" x14ac:dyDescent="0.55000000000000004">
      <c r="B255" t="s">
        <v>594</v>
      </c>
      <c r="D255" t="s">
        <v>594</v>
      </c>
      <c r="E255">
        <v>62250</v>
      </c>
      <c r="F255" t="s">
        <v>266</v>
      </c>
      <c r="G255" t="s">
        <v>300</v>
      </c>
    </row>
    <row r="256" spans="2:7" x14ac:dyDescent="0.55000000000000004">
      <c r="B256" t="s">
        <v>595</v>
      </c>
      <c r="D256" t="s">
        <v>595</v>
      </c>
      <c r="E256">
        <v>62960</v>
      </c>
      <c r="F256" t="s">
        <v>242</v>
      </c>
      <c r="G256" t="s">
        <v>323</v>
      </c>
    </row>
    <row r="257" spans="2:7" x14ac:dyDescent="0.55000000000000004">
      <c r="B257" t="s">
        <v>596</v>
      </c>
      <c r="D257" t="s">
        <v>596</v>
      </c>
      <c r="E257">
        <v>62190</v>
      </c>
      <c r="F257" t="s">
        <v>314</v>
      </c>
      <c r="G257" t="s">
        <v>283</v>
      </c>
    </row>
    <row r="258" spans="2:7" x14ac:dyDescent="0.55000000000000004">
      <c r="B258" t="s">
        <v>597</v>
      </c>
      <c r="D258" t="s">
        <v>597</v>
      </c>
      <c r="E258">
        <v>62270</v>
      </c>
      <c r="F258" t="s">
        <v>211</v>
      </c>
      <c r="G258" t="s">
        <v>311</v>
      </c>
    </row>
    <row r="259" spans="2:7" x14ac:dyDescent="0.55000000000000004">
      <c r="B259" t="s">
        <v>598</v>
      </c>
      <c r="D259" t="s">
        <v>598</v>
      </c>
      <c r="E259">
        <v>62218</v>
      </c>
      <c r="F259" t="s">
        <v>221</v>
      </c>
      <c r="G259" t="s">
        <v>253</v>
      </c>
    </row>
    <row r="260" spans="2:7" x14ac:dyDescent="0.55000000000000004">
      <c r="B260" t="s">
        <v>599</v>
      </c>
      <c r="D260" t="s">
        <v>599</v>
      </c>
      <c r="E260">
        <v>62630</v>
      </c>
      <c r="F260" t="s">
        <v>242</v>
      </c>
      <c r="G260" t="s">
        <v>300</v>
      </c>
    </row>
    <row r="261" spans="2:7" x14ac:dyDescent="0.55000000000000004">
      <c r="B261" t="s">
        <v>600</v>
      </c>
      <c r="D261" t="s">
        <v>600</v>
      </c>
      <c r="E261">
        <v>62840</v>
      </c>
      <c r="F261" t="s">
        <v>314</v>
      </c>
      <c r="G261" t="s">
        <v>209</v>
      </c>
    </row>
    <row r="262" spans="2:7" x14ac:dyDescent="0.55000000000000004">
      <c r="B262" t="s">
        <v>601</v>
      </c>
      <c r="D262" t="s">
        <v>601</v>
      </c>
      <c r="E262">
        <v>62240</v>
      </c>
      <c r="F262" t="s">
        <v>215</v>
      </c>
      <c r="G262" t="s">
        <v>257</v>
      </c>
    </row>
    <row r="263" spans="2:7" x14ac:dyDescent="0.55000000000000004">
      <c r="B263" t="s">
        <v>602</v>
      </c>
      <c r="D263" t="s">
        <v>602</v>
      </c>
      <c r="E263">
        <v>62540</v>
      </c>
      <c r="F263" t="s">
        <v>229</v>
      </c>
      <c r="G263" t="s">
        <v>234</v>
      </c>
    </row>
    <row r="264" spans="2:7" x14ac:dyDescent="0.55000000000000004">
      <c r="B264" t="s">
        <v>603</v>
      </c>
      <c r="D264" t="s">
        <v>603</v>
      </c>
      <c r="E264">
        <v>62380</v>
      </c>
      <c r="F264" t="s">
        <v>290</v>
      </c>
      <c r="G264" t="s">
        <v>274</v>
      </c>
    </row>
    <row r="265" spans="2:7" x14ac:dyDescent="0.55000000000000004">
      <c r="B265" t="s">
        <v>604</v>
      </c>
      <c r="D265" t="s">
        <v>604</v>
      </c>
      <c r="E265">
        <v>62270</v>
      </c>
      <c r="F265" t="s">
        <v>217</v>
      </c>
      <c r="G265" t="s">
        <v>243</v>
      </c>
    </row>
    <row r="266" spans="2:7" x14ac:dyDescent="0.55000000000000004">
      <c r="B266" t="s">
        <v>605</v>
      </c>
      <c r="D266" t="s">
        <v>605</v>
      </c>
      <c r="E266">
        <v>62130</v>
      </c>
      <c r="F266" t="s">
        <v>336</v>
      </c>
      <c r="G266" t="s">
        <v>260</v>
      </c>
    </row>
    <row r="267" spans="2:7" x14ac:dyDescent="0.55000000000000004">
      <c r="B267" t="s">
        <v>606</v>
      </c>
      <c r="D267" t="s">
        <v>606</v>
      </c>
      <c r="E267">
        <v>62620</v>
      </c>
      <c r="F267" t="s">
        <v>248</v>
      </c>
      <c r="G267" t="s">
        <v>328</v>
      </c>
    </row>
    <row r="268" spans="2:7" x14ac:dyDescent="0.55000000000000004">
      <c r="B268" t="s">
        <v>607</v>
      </c>
      <c r="D268" t="s">
        <v>607</v>
      </c>
      <c r="E268">
        <v>62310</v>
      </c>
      <c r="F268" t="s">
        <v>337</v>
      </c>
      <c r="G268" t="s">
        <v>338</v>
      </c>
    </row>
    <row r="269" spans="2:7" x14ac:dyDescent="0.55000000000000004">
      <c r="B269" t="s">
        <v>608</v>
      </c>
      <c r="D269" t="s">
        <v>608</v>
      </c>
      <c r="E269">
        <v>62127</v>
      </c>
      <c r="F269" t="s">
        <v>240</v>
      </c>
      <c r="G269" t="s">
        <v>269</v>
      </c>
    </row>
    <row r="270" spans="2:7" x14ac:dyDescent="0.55000000000000004">
      <c r="B270" t="s">
        <v>609</v>
      </c>
      <c r="D270" t="s">
        <v>609</v>
      </c>
      <c r="E270">
        <v>62250</v>
      </c>
      <c r="F270" t="s">
        <v>318</v>
      </c>
      <c r="G270" t="s">
        <v>222</v>
      </c>
    </row>
    <row r="271" spans="2:7" x14ac:dyDescent="0.55000000000000004">
      <c r="B271" t="s">
        <v>610</v>
      </c>
      <c r="D271" t="s">
        <v>610</v>
      </c>
      <c r="E271">
        <v>62140</v>
      </c>
      <c r="F271" t="s">
        <v>252</v>
      </c>
      <c r="G271" t="s">
        <v>332</v>
      </c>
    </row>
    <row r="272" spans="2:7" x14ac:dyDescent="0.55000000000000004">
      <c r="B272" t="s">
        <v>611</v>
      </c>
      <c r="D272" t="s">
        <v>611</v>
      </c>
      <c r="E272">
        <v>62990</v>
      </c>
      <c r="F272" t="s">
        <v>248</v>
      </c>
      <c r="G272" t="s">
        <v>326</v>
      </c>
    </row>
    <row r="273" spans="2:7" x14ac:dyDescent="0.55000000000000004">
      <c r="B273" t="s">
        <v>612</v>
      </c>
      <c r="D273" t="s">
        <v>612</v>
      </c>
      <c r="E273">
        <v>62630</v>
      </c>
      <c r="F273" t="s">
        <v>233</v>
      </c>
      <c r="G273" t="s">
        <v>321</v>
      </c>
    </row>
    <row r="274" spans="2:7" x14ac:dyDescent="0.55000000000000004">
      <c r="B274" t="s">
        <v>613</v>
      </c>
      <c r="D274" t="s">
        <v>613</v>
      </c>
      <c r="E274">
        <v>62170</v>
      </c>
      <c r="F274" t="s">
        <v>248</v>
      </c>
      <c r="G274" t="s">
        <v>319</v>
      </c>
    </row>
    <row r="275" spans="2:7" x14ac:dyDescent="0.55000000000000004">
      <c r="B275" t="s">
        <v>614</v>
      </c>
      <c r="D275" t="s">
        <v>614</v>
      </c>
      <c r="E275">
        <v>62127</v>
      </c>
      <c r="F275" t="s">
        <v>203</v>
      </c>
      <c r="G275" t="s">
        <v>243</v>
      </c>
    </row>
    <row r="276" spans="2:7" x14ac:dyDescent="0.55000000000000004">
      <c r="B276" t="s">
        <v>615</v>
      </c>
      <c r="D276" t="s">
        <v>615</v>
      </c>
      <c r="E276">
        <v>62860</v>
      </c>
      <c r="F276" t="s">
        <v>276</v>
      </c>
      <c r="G276" t="s">
        <v>335</v>
      </c>
    </row>
    <row r="277" spans="2:7" x14ac:dyDescent="0.55000000000000004">
      <c r="B277" t="s">
        <v>616</v>
      </c>
      <c r="D277" t="s">
        <v>616</v>
      </c>
      <c r="E277">
        <v>62250</v>
      </c>
      <c r="F277" t="s">
        <v>263</v>
      </c>
      <c r="G277" t="s">
        <v>262</v>
      </c>
    </row>
    <row r="278" spans="2:7" x14ac:dyDescent="0.55000000000000004">
      <c r="B278" t="s">
        <v>617</v>
      </c>
      <c r="D278" t="s">
        <v>617</v>
      </c>
      <c r="E278">
        <v>62240</v>
      </c>
      <c r="F278" t="s">
        <v>215</v>
      </c>
      <c r="G278" t="s">
        <v>326</v>
      </c>
    </row>
    <row r="279" spans="2:7" x14ac:dyDescent="0.55000000000000004">
      <c r="B279" t="s">
        <v>618</v>
      </c>
      <c r="D279" t="s">
        <v>618</v>
      </c>
      <c r="E279">
        <v>62217</v>
      </c>
      <c r="F279" t="s">
        <v>267</v>
      </c>
      <c r="G279" t="s">
        <v>313</v>
      </c>
    </row>
    <row r="280" spans="2:7" x14ac:dyDescent="0.55000000000000004">
      <c r="B280" t="s">
        <v>619</v>
      </c>
      <c r="D280" t="s">
        <v>619</v>
      </c>
      <c r="E280">
        <v>62560</v>
      </c>
      <c r="F280" t="s">
        <v>309</v>
      </c>
      <c r="G280" t="s">
        <v>268</v>
      </c>
    </row>
    <row r="281" spans="2:7" x14ac:dyDescent="0.55000000000000004">
      <c r="B281" t="s">
        <v>620</v>
      </c>
      <c r="D281" t="s">
        <v>620</v>
      </c>
      <c r="E281">
        <v>62680</v>
      </c>
      <c r="F281" t="s">
        <v>259</v>
      </c>
      <c r="G281" t="s">
        <v>253</v>
      </c>
    </row>
    <row r="282" spans="2:7" x14ac:dyDescent="0.55000000000000004">
      <c r="B282" t="s">
        <v>621</v>
      </c>
      <c r="D282" t="s">
        <v>621</v>
      </c>
      <c r="E282">
        <v>62155</v>
      </c>
      <c r="F282" t="s">
        <v>248</v>
      </c>
      <c r="G282" t="s">
        <v>316</v>
      </c>
    </row>
    <row r="283" spans="2:7" x14ac:dyDescent="0.55000000000000004">
      <c r="B283" t="s">
        <v>622</v>
      </c>
      <c r="D283" t="s">
        <v>622</v>
      </c>
      <c r="E283">
        <v>62124</v>
      </c>
      <c r="F283" t="s">
        <v>286</v>
      </c>
      <c r="G283" t="s">
        <v>202</v>
      </c>
    </row>
    <row r="284" spans="2:7" x14ac:dyDescent="0.55000000000000004">
      <c r="B284" t="s">
        <v>623</v>
      </c>
      <c r="D284" t="s">
        <v>623</v>
      </c>
      <c r="E284">
        <v>62410</v>
      </c>
      <c r="F284" t="s">
        <v>246</v>
      </c>
      <c r="G284" t="s">
        <v>206</v>
      </c>
    </row>
    <row r="285" spans="2:7" x14ac:dyDescent="0.55000000000000004">
      <c r="B285" t="s">
        <v>624</v>
      </c>
      <c r="D285" t="s">
        <v>624</v>
      </c>
      <c r="E285">
        <v>62270</v>
      </c>
      <c r="F285" t="s">
        <v>217</v>
      </c>
      <c r="G285" t="s">
        <v>305</v>
      </c>
    </row>
    <row r="286" spans="2:7" x14ac:dyDescent="0.55000000000000004">
      <c r="B286" t="s">
        <v>625</v>
      </c>
      <c r="D286" t="s">
        <v>625</v>
      </c>
      <c r="E286">
        <v>62123</v>
      </c>
      <c r="F286" t="s">
        <v>267</v>
      </c>
      <c r="G286" t="s">
        <v>279</v>
      </c>
    </row>
    <row r="287" spans="2:7" x14ac:dyDescent="0.55000000000000004">
      <c r="B287" t="s">
        <v>626</v>
      </c>
      <c r="D287" t="s">
        <v>626</v>
      </c>
      <c r="E287">
        <v>62118</v>
      </c>
      <c r="F287" t="s">
        <v>207</v>
      </c>
      <c r="G287" t="s">
        <v>304</v>
      </c>
    </row>
    <row r="288" spans="2:7" x14ac:dyDescent="0.55000000000000004">
      <c r="B288" t="s">
        <v>627</v>
      </c>
      <c r="D288" t="s">
        <v>627</v>
      </c>
      <c r="E288">
        <v>62170</v>
      </c>
      <c r="F288" t="s">
        <v>229</v>
      </c>
      <c r="G288" t="s">
        <v>232</v>
      </c>
    </row>
    <row r="289" spans="2:7" x14ac:dyDescent="0.55000000000000004">
      <c r="B289" t="s">
        <v>628</v>
      </c>
      <c r="D289" t="s">
        <v>628</v>
      </c>
      <c r="E289">
        <v>62123</v>
      </c>
      <c r="F289" t="s">
        <v>217</v>
      </c>
      <c r="G289" t="s">
        <v>247</v>
      </c>
    </row>
    <row r="290" spans="2:7" x14ac:dyDescent="0.55000000000000004">
      <c r="B290" t="s">
        <v>629</v>
      </c>
      <c r="D290" t="s">
        <v>629</v>
      </c>
      <c r="E290">
        <v>62124</v>
      </c>
      <c r="F290" t="s">
        <v>196</v>
      </c>
      <c r="G290" t="s">
        <v>302</v>
      </c>
    </row>
    <row r="291" spans="2:7" x14ac:dyDescent="0.55000000000000004">
      <c r="B291" t="s">
        <v>630</v>
      </c>
      <c r="D291" t="s">
        <v>630</v>
      </c>
      <c r="E291">
        <v>62910</v>
      </c>
      <c r="F291" t="s">
        <v>227</v>
      </c>
      <c r="G291" t="s">
        <v>239</v>
      </c>
    </row>
    <row r="292" spans="2:7" x14ac:dyDescent="0.55000000000000004">
      <c r="B292" t="s">
        <v>631</v>
      </c>
      <c r="D292" t="s">
        <v>631</v>
      </c>
      <c r="E292">
        <v>62140</v>
      </c>
      <c r="F292" t="s">
        <v>211</v>
      </c>
      <c r="G292" t="s">
        <v>284</v>
      </c>
    </row>
    <row r="293" spans="2:7" x14ac:dyDescent="0.55000000000000004">
      <c r="B293" t="s">
        <v>632</v>
      </c>
      <c r="D293" t="s">
        <v>632</v>
      </c>
      <c r="E293">
        <v>62121</v>
      </c>
      <c r="F293" t="s">
        <v>213</v>
      </c>
      <c r="G293" t="s">
        <v>208</v>
      </c>
    </row>
    <row r="294" spans="2:7" x14ac:dyDescent="0.55000000000000004">
      <c r="B294" t="s">
        <v>633</v>
      </c>
      <c r="D294" t="s">
        <v>633</v>
      </c>
      <c r="E294">
        <v>62142</v>
      </c>
      <c r="F294" t="s">
        <v>235</v>
      </c>
      <c r="G294" t="s">
        <v>326</v>
      </c>
    </row>
    <row r="295" spans="2:7" x14ac:dyDescent="0.55000000000000004">
      <c r="B295" t="s">
        <v>634</v>
      </c>
      <c r="D295" t="s">
        <v>634</v>
      </c>
      <c r="E295">
        <v>62840</v>
      </c>
      <c r="F295" t="s">
        <v>223</v>
      </c>
      <c r="G295" t="s">
        <v>209</v>
      </c>
    </row>
    <row r="296" spans="2:7" x14ac:dyDescent="0.55000000000000004">
      <c r="B296" t="s">
        <v>635</v>
      </c>
      <c r="D296" t="s">
        <v>635</v>
      </c>
      <c r="E296">
        <v>62130</v>
      </c>
      <c r="F296" t="s">
        <v>277</v>
      </c>
      <c r="G296" t="s">
        <v>260</v>
      </c>
    </row>
    <row r="297" spans="2:7" x14ac:dyDescent="0.55000000000000004">
      <c r="B297" t="s">
        <v>636</v>
      </c>
      <c r="D297" t="s">
        <v>636</v>
      </c>
      <c r="E297">
        <v>62217</v>
      </c>
      <c r="F297" t="s">
        <v>288</v>
      </c>
      <c r="G297" t="s">
        <v>303</v>
      </c>
    </row>
    <row r="298" spans="2:7" x14ac:dyDescent="0.55000000000000004">
      <c r="B298" t="s">
        <v>637</v>
      </c>
      <c r="D298" t="s">
        <v>637</v>
      </c>
      <c r="E298">
        <v>62380</v>
      </c>
      <c r="F298" t="s">
        <v>308</v>
      </c>
      <c r="G298" t="s">
        <v>315</v>
      </c>
    </row>
    <row r="299" spans="2:7" x14ac:dyDescent="0.55000000000000004">
      <c r="B299" t="s">
        <v>638</v>
      </c>
      <c r="D299" t="s">
        <v>638</v>
      </c>
      <c r="E299">
        <v>62290</v>
      </c>
      <c r="F299" t="s">
        <v>224</v>
      </c>
      <c r="G299" t="s">
        <v>218</v>
      </c>
    </row>
    <row r="300" spans="2:7" x14ac:dyDescent="0.55000000000000004">
      <c r="B300" t="s">
        <v>639</v>
      </c>
      <c r="D300" t="s">
        <v>639</v>
      </c>
      <c r="E300">
        <v>62128</v>
      </c>
      <c r="F300" t="s">
        <v>273</v>
      </c>
      <c r="G300" t="s">
        <v>312</v>
      </c>
    </row>
    <row r="301" spans="2:7" x14ac:dyDescent="0.55000000000000004">
      <c r="B301" t="s">
        <v>640</v>
      </c>
      <c r="D301" t="s">
        <v>640</v>
      </c>
      <c r="E301">
        <v>62950</v>
      </c>
      <c r="F301" t="s">
        <v>226</v>
      </c>
      <c r="G301" t="s">
        <v>292</v>
      </c>
    </row>
    <row r="302" spans="2:7" x14ac:dyDescent="0.55000000000000004">
      <c r="B302" t="s">
        <v>641</v>
      </c>
      <c r="D302" t="s">
        <v>641</v>
      </c>
      <c r="E302">
        <v>62980</v>
      </c>
      <c r="F302" t="s">
        <v>224</v>
      </c>
      <c r="G302" t="s">
        <v>204</v>
      </c>
    </row>
    <row r="303" spans="2:7" x14ac:dyDescent="0.55000000000000004">
      <c r="B303" t="s">
        <v>642</v>
      </c>
      <c r="D303" t="s">
        <v>642</v>
      </c>
      <c r="E303">
        <v>62490</v>
      </c>
      <c r="F303" t="s">
        <v>240</v>
      </c>
      <c r="G303" t="s">
        <v>322</v>
      </c>
    </row>
    <row r="304" spans="2:7" x14ac:dyDescent="0.55000000000000004">
      <c r="B304" t="s">
        <v>643</v>
      </c>
      <c r="D304" t="s">
        <v>643</v>
      </c>
      <c r="E304">
        <v>62270</v>
      </c>
      <c r="F304" t="s">
        <v>217</v>
      </c>
      <c r="G304" t="s">
        <v>254</v>
      </c>
    </row>
    <row r="305" spans="2:7" x14ac:dyDescent="0.55000000000000004">
      <c r="B305" t="s">
        <v>644</v>
      </c>
      <c r="D305" t="s">
        <v>644</v>
      </c>
      <c r="E305">
        <v>62860</v>
      </c>
      <c r="F305" t="s">
        <v>288</v>
      </c>
      <c r="G305" t="s">
        <v>340</v>
      </c>
    </row>
    <row r="306" spans="2:7" x14ac:dyDescent="0.55000000000000004">
      <c r="B306" t="s">
        <v>645</v>
      </c>
      <c r="D306" t="s">
        <v>645</v>
      </c>
      <c r="E306">
        <v>62460</v>
      </c>
      <c r="F306" t="s">
        <v>248</v>
      </c>
      <c r="G306" t="s">
        <v>283</v>
      </c>
    </row>
    <row r="307" spans="2:7" x14ac:dyDescent="0.55000000000000004">
      <c r="B307" t="s">
        <v>646</v>
      </c>
      <c r="D307" t="s">
        <v>646</v>
      </c>
      <c r="E307">
        <v>62860</v>
      </c>
      <c r="F307" t="s">
        <v>207</v>
      </c>
      <c r="G307" t="s">
        <v>317</v>
      </c>
    </row>
    <row r="308" spans="2:7" x14ac:dyDescent="0.55000000000000004">
      <c r="B308" t="s">
        <v>647</v>
      </c>
      <c r="D308" t="s">
        <v>647</v>
      </c>
      <c r="E308">
        <v>62770</v>
      </c>
      <c r="F308" t="s">
        <v>203</v>
      </c>
      <c r="G308" t="s">
        <v>261</v>
      </c>
    </row>
    <row r="309" spans="2:7" x14ac:dyDescent="0.55000000000000004">
      <c r="B309" t="s">
        <v>648</v>
      </c>
      <c r="D309" t="s">
        <v>648</v>
      </c>
      <c r="E309">
        <v>62126</v>
      </c>
      <c r="F309" t="s">
        <v>235</v>
      </c>
      <c r="G309" t="s">
        <v>262</v>
      </c>
    </row>
    <row r="310" spans="2:7" x14ac:dyDescent="0.55000000000000004">
      <c r="B310" t="s">
        <v>649</v>
      </c>
      <c r="D310" t="s">
        <v>649</v>
      </c>
      <c r="E310">
        <v>62231</v>
      </c>
      <c r="F310" t="s">
        <v>331</v>
      </c>
      <c r="G310" t="s">
        <v>297</v>
      </c>
    </row>
    <row r="311" spans="2:7" x14ac:dyDescent="0.55000000000000004">
      <c r="B311" t="s">
        <v>650</v>
      </c>
      <c r="D311" t="s">
        <v>650</v>
      </c>
      <c r="E311">
        <v>62130</v>
      </c>
      <c r="F311" t="s">
        <v>259</v>
      </c>
      <c r="G311" t="s">
        <v>307</v>
      </c>
    </row>
    <row r="312" spans="2:7" x14ac:dyDescent="0.55000000000000004">
      <c r="B312" t="s">
        <v>651</v>
      </c>
      <c r="D312" t="s">
        <v>651</v>
      </c>
      <c r="E312">
        <v>62340</v>
      </c>
      <c r="F312" t="s">
        <v>244</v>
      </c>
      <c r="G312" t="s">
        <v>293</v>
      </c>
    </row>
    <row r="313" spans="2:7" x14ac:dyDescent="0.55000000000000004">
      <c r="B313" t="s">
        <v>652</v>
      </c>
      <c r="D313" t="s">
        <v>652</v>
      </c>
      <c r="E313">
        <v>62118</v>
      </c>
      <c r="F313" t="s">
        <v>217</v>
      </c>
      <c r="G313" t="s">
        <v>312</v>
      </c>
    </row>
    <row r="314" spans="2:7" x14ac:dyDescent="0.55000000000000004">
      <c r="B314" t="s">
        <v>653</v>
      </c>
      <c r="D314" t="s">
        <v>653</v>
      </c>
      <c r="E314">
        <v>62760</v>
      </c>
      <c r="F314" t="s">
        <v>273</v>
      </c>
      <c r="G314" t="s">
        <v>295</v>
      </c>
    </row>
    <row r="315" spans="2:7" x14ac:dyDescent="0.55000000000000004">
      <c r="B315" t="s">
        <v>654</v>
      </c>
      <c r="D315" t="s">
        <v>654</v>
      </c>
      <c r="E315">
        <v>62480</v>
      </c>
      <c r="F315" t="s">
        <v>290</v>
      </c>
      <c r="G315" t="s">
        <v>333</v>
      </c>
    </row>
    <row r="316" spans="2:7" x14ac:dyDescent="0.55000000000000004">
      <c r="B316" t="s">
        <v>655</v>
      </c>
      <c r="D316" t="s">
        <v>655</v>
      </c>
      <c r="E316">
        <v>62134</v>
      </c>
      <c r="F316" t="s">
        <v>246</v>
      </c>
      <c r="G316" t="s">
        <v>249</v>
      </c>
    </row>
    <row r="317" spans="2:7" x14ac:dyDescent="0.55000000000000004">
      <c r="B317" t="s">
        <v>656</v>
      </c>
      <c r="D317" t="s">
        <v>656</v>
      </c>
      <c r="E317">
        <v>62860</v>
      </c>
      <c r="F317" t="s">
        <v>273</v>
      </c>
      <c r="G317">
        <v>3</v>
      </c>
    </row>
    <row r="318" spans="2:7" x14ac:dyDescent="0.55000000000000004">
      <c r="B318" t="s">
        <v>657</v>
      </c>
      <c r="D318" t="s">
        <v>657</v>
      </c>
      <c r="E318">
        <v>62860</v>
      </c>
      <c r="F318" t="s">
        <v>213</v>
      </c>
      <c r="G318" t="s">
        <v>292</v>
      </c>
    </row>
    <row r="319" spans="2:7" x14ac:dyDescent="0.55000000000000004">
      <c r="B319" t="s">
        <v>658</v>
      </c>
      <c r="D319" t="s">
        <v>658</v>
      </c>
      <c r="E319">
        <v>62380</v>
      </c>
      <c r="F319" t="s">
        <v>235</v>
      </c>
      <c r="G319" t="s">
        <v>332</v>
      </c>
    </row>
    <row r="320" spans="2:7" x14ac:dyDescent="0.55000000000000004">
      <c r="B320" t="s">
        <v>659</v>
      </c>
      <c r="D320" t="s">
        <v>659</v>
      </c>
      <c r="E320">
        <v>62120</v>
      </c>
      <c r="F320" t="s">
        <v>294</v>
      </c>
      <c r="G320" t="s">
        <v>260</v>
      </c>
    </row>
    <row r="321" spans="2:7" x14ac:dyDescent="0.55000000000000004">
      <c r="B321" t="s">
        <v>660</v>
      </c>
      <c r="D321" t="s">
        <v>660</v>
      </c>
      <c r="E321">
        <v>62240</v>
      </c>
      <c r="F321" t="s">
        <v>290</v>
      </c>
      <c r="G321" t="s">
        <v>257</v>
      </c>
    </row>
    <row r="322" spans="2:7" x14ac:dyDescent="0.55000000000000004">
      <c r="B322" t="s">
        <v>661</v>
      </c>
      <c r="D322" t="s">
        <v>661</v>
      </c>
      <c r="E322">
        <v>62490</v>
      </c>
      <c r="F322" t="s">
        <v>252</v>
      </c>
      <c r="G322" t="s">
        <v>292</v>
      </c>
    </row>
    <row r="323" spans="2:7" x14ac:dyDescent="0.55000000000000004">
      <c r="B323" t="s">
        <v>662</v>
      </c>
      <c r="D323" t="s">
        <v>662</v>
      </c>
      <c r="E323">
        <v>62650</v>
      </c>
      <c r="F323" t="s">
        <v>233</v>
      </c>
      <c r="G323" t="s">
        <v>257</v>
      </c>
    </row>
    <row r="324" spans="2:7" x14ac:dyDescent="0.55000000000000004">
      <c r="B324" t="s">
        <v>663</v>
      </c>
      <c r="D324" t="s">
        <v>663</v>
      </c>
      <c r="E324">
        <v>62390</v>
      </c>
      <c r="F324" t="s">
        <v>217</v>
      </c>
      <c r="G324" t="s">
        <v>261</v>
      </c>
    </row>
    <row r="325" spans="2:7" x14ac:dyDescent="0.55000000000000004">
      <c r="B325" t="s">
        <v>664</v>
      </c>
      <c r="D325" t="s">
        <v>664</v>
      </c>
      <c r="E325">
        <v>62130</v>
      </c>
      <c r="F325" t="s">
        <v>252</v>
      </c>
      <c r="G325" t="s">
        <v>334</v>
      </c>
    </row>
    <row r="326" spans="2:7" x14ac:dyDescent="0.55000000000000004">
      <c r="B326" t="s">
        <v>665</v>
      </c>
      <c r="D326" t="s">
        <v>665</v>
      </c>
      <c r="E326">
        <v>62850</v>
      </c>
      <c r="F326" t="s">
        <v>235</v>
      </c>
      <c r="G326" t="s">
        <v>270</v>
      </c>
    </row>
    <row r="327" spans="2:7" x14ac:dyDescent="0.55000000000000004">
      <c r="B327" t="s">
        <v>666</v>
      </c>
      <c r="D327" t="s">
        <v>666</v>
      </c>
      <c r="E327">
        <v>62120</v>
      </c>
      <c r="F327" t="s">
        <v>314</v>
      </c>
      <c r="G327" t="s">
        <v>260</v>
      </c>
    </row>
    <row r="328" spans="2:7" x14ac:dyDescent="0.55000000000000004">
      <c r="B328" t="s">
        <v>667</v>
      </c>
      <c r="D328" t="s">
        <v>667</v>
      </c>
      <c r="E328">
        <v>62156</v>
      </c>
      <c r="F328" t="s">
        <v>288</v>
      </c>
      <c r="G328" t="s">
        <v>324</v>
      </c>
    </row>
    <row r="329" spans="2:7" x14ac:dyDescent="0.55000000000000004">
      <c r="B329" t="s">
        <v>668</v>
      </c>
      <c r="D329" t="s">
        <v>668</v>
      </c>
      <c r="E329">
        <v>62560</v>
      </c>
      <c r="F329" t="s">
        <v>223</v>
      </c>
      <c r="G329" t="s">
        <v>216</v>
      </c>
    </row>
    <row r="330" spans="2:7" x14ac:dyDescent="0.55000000000000004">
      <c r="B330" t="s">
        <v>669</v>
      </c>
      <c r="D330" t="s">
        <v>669</v>
      </c>
      <c r="E330">
        <v>62173</v>
      </c>
      <c r="F330" t="s">
        <v>267</v>
      </c>
      <c r="G330" t="s">
        <v>301</v>
      </c>
    </row>
    <row r="331" spans="2:7" x14ac:dyDescent="0.55000000000000004">
      <c r="B331" t="s">
        <v>670</v>
      </c>
      <c r="D331" t="s">
        <v>670</v>
      </c>
      <c r="E331">
        <v>62770</v>
      </c>
      <c r="F331" t="s">
        <v>226</v>
      </c>
      <c r="G331" t="s">
        <v>268</v>
      </c>
    </row>
    <row r="332" spans="2:7" x14ac:dyDescent="0.55000000000000004">
      <c r="B332" t="s">
        <v>671</v>
      </c>
      <c r="D332" t="s">
        <v>671</v>
      </c>
      <c r="E332">
        <v>62120</v>
      </c>
      <c r="F332" t="s">
        <v>294</v>
      </c>
      <c r="G332" t="s">
        <v>275</v>
      </c>
    </row>
    <row r="333" spans="2:7" x14ac:dyDescent="0.55000000000000004">
      <c r="B333" t="s">
        <v>672</v>
      </c>
      <c r="D333" t="s">
        <v>672</v>
      </c>
      <c r="E333">
        <v>62870</v>
      </c>
      <c r="F333" t="s">
        <v>252</v>
      </c>
      <c r="G333" t="s">
        <v>293</v>
      </c>
    </row>
    <row r="334" spans="2:7" x14ac:dyDescent="0.55000000000000004">
      <c r="B334" t="s">
        <v>673</v>
      </c>
      <c r="D334" t="s">
        <v>673</v>
      </c>
      <c r="E334">
        <v>62860</v>
      </c>
      <c r="F334" t="s">
        <v>288</v>
      </c>
      <c r="G334" t="s">
        <v>202</v>
      </c>
    </row>
    <row r="335" spans="2:7" x14ac:dyDescent="0.55000000000000004">
      <c r="B335" t="s">
        <v>674</v>
      </c>
      <c r="D335" t="s">
        <v>674</v>
      </c>
      <c r="E335">
        <v>62650</v>
      </c>
      <c r="F335" t="s">
        <v>223</v>
      </c>
      <c r="G335" t="s">
        <v>315</v>
      </c>
    </row>
    <row r="336" spans="2:7" x14ac:dyDescent="0.55000000000000004">
      <c r="B336" t="s">
        <v>675</v>
      </c>
      <c r="D336" t="s">
        <v>675</v>
      </c>
      <c r="E336">
        <v>62124</v>
      </c>
      <c r="F336" t="s">
        <v>298</v>
      </c>
      <c r="G336" t="s">
        <v>197</v>
      </c>
    </row>
    <row r="337" spans="2:7" x14ac:dyDescent="0.55000000000000004">
      <c r="B337" t="s">
        <v>676</v>
      </c>
      <c r="D337" t="s">
        <v>676</v>
      </c>
      <c r="E337">
        <v>62113</v>
      </c>
      <c r="F337" t="s">
        <v>246</v>
      </c>
      <c r="G337" t="s">
        <v>214</v>
      </c>
    </row>
    <row r="338" spans="2:7" x14ac:dyDescent="0.55000000000000004">
      <c r="B338" t="s">
        <v>677</v>
      </c>
      <c r="D338" t="s">
        <v>677</v>
      </c>
      <c r="E338">
        <v>62840</v>
      </c>
      <c r="F338" t="s">
        <v>327</v>
      </c>
      <c r="G338" t="s">
        <v>208</v>
      </c>
    </row>
    <row r="339" spans="2:7" x14ac:dyDescent="0.55000000000000004">
      <c r="B339" t="s">
        <v>678</v>
      </c>
      <c r="D339" t="s">
        <v>678</v>
      </c>
      <c r="E339">
        <v>62114</v>
      </c>
      <c r="F339" t="s">
        <v>248</v>
      </c>
      <c r="G339" t="s">
        <v>301</v>
      </c>
    </row>
    <row r="340" spans="2:7" x14ac:dyDescent="0.55000000000000004">
      <c r="B340" t="s">
        <v>679</v>
      </c>
      <c r="D340" t="s">
        <v>679</v>
      </c>
      <c r="E340">
        <v>62310</v>
      </c>
      <c r="F340" t="s">
        <v>238</v>
      </c>
      <c r="G340" t="s">
        <v>332</v>
      </c>
    </row>
    <row r="341" spans="2:7" x14ac:dyDescent="0.55000000000000004">
      <c r="B341" t="s">
        <v>680</v>
      </c>
      <c r="D341" t="s">
        <v>680</v>
      </c>
      <c r="E341">
        <v>62860</v>
      </c>
      <c r="F341" t="s">
        <v>296</v>
      </c>
      <c r="G341" t="s">
        <v>202</v>
      </c>
    </row>
    <row r="342" spans="2:7" x14ac:dyDescent="0.55000000000000004">
      <c r="B342" t="s">
        <v>681</v>
      </c>
      <c r="D342" t="s">
        <v>681</v>
      </c>
      <c r="E342">
        <v>62550</v>
      </c>
      <c r="F342" t="s">
        <v>224</v>
      </c>
      <c r="G342" t="s">
        <v>323</v>
      </c>
    </row>
    <row r="343" spans="2:7" x14ac:dyDescent="0.55000000000000004">
      <c r="B343" t="s">
        <v>682</v>
      </c>
      <c r="D343" t="s">
        <v>682</v>
      </c>
      <c r="E343">
        <v>62170</v>
      </c>
      <c r="F343" t="s">
        <v>341</v>
      </c>
      <c r="G343" t="s">
        <v>222</v>
      </c>
    </row>
    <row r="344" spans="2:7" x14ac:dyDescent="0.55000000000000004">
      <c r="B344" t="s">
        <v>683</v>
      </c>
      <c r="D344" t="s">
        <v>683</v>
      </c>
      <c r="E344">
        <v>62140</v>
      </c>
      <c r="F344" t="s">
        <v>252</v>
      </c>
      <c r="G344" t="s">
        <v>332</v>
      </c>
    </row>
    <row r="345" spans="2:7" x14ac:dyDescent="0.55000000000000004">
      <c r="B345" t="s">
        <v>684</v>
      </c>
      <c r="D345" t="s">
        <v>684</v>
      </c>
      <c r="E345">
        <v>62223</v>
      </c>
      <c r="F345" t="s">
        <v>217</v>
      </c>
      <c r="G345" t="s">
        <v>208</v>
      </c>
    </row>
    <row r="346" spans="2:7" x14ac:dyDescent="0.55000000000000004">
      <c r="B346" t="s">
        <v>685</v>
      </c>
      <c r="D346" t="s">
        <v>685</v>
      </c>
      <c r="E346">
        <v>62990</v>
      </c>
      <c r="F346" t="s">
        <v>238</v>
      </c>
      <c r="G346" t="s">
        <v>282</v>
      </c>
    </row>
    <row r="347" spans="2:7" x14ac:dyDescent="0.55000000000000004">
      <c r="B347" t="s">
        <v>686</v>
      </c>
      <c r="D347" t="s">
        <v>686</v>
      </c>
      <c r="E347">
        <v>62360</v>
      </c>
      <c r="F347" t="s">
        <v>308</v>
      </c>
      <c r="G347" t="s">
        <v>316</v>
      </c>
    </row>
    <row r="348" spans="2:7" x14ac:dyDescent="0.55000000000000004">
      <c r="B348" t="s">
        <v>687</v>
      </c>
      <c r="D348" t="s">
        <v>687</v>
      </c>
      <c r="E348">
        <v>62350</v>
      </c>
      <c r="F348" t="s">
        <v>309</v>
      </c>
      <c r="G348" t="s">
        <v>289</v>
      </c>
    </row>
    <row r="349" spans="2:7" x14ac:dyDescent="0.55000000000000004">
      <c r="B349" t="s">
        <v>688</v>
      </c>
      <c r="D349" t="s">
        <v>688</v>
      </c>
      <c r="E349">
        <v>62370</v>
      </c>
      <c r="F349" t="s">
        <v>342</v>
      </c>
      <c r="G349" t="s">
        <v>274</v>
      </c>
    </row>
    <row r="350" spans="2:7" x14ac:dyDescent="0.55000000000000004">
      <c r="B350" t="s">
        <v>689</v>
      </c>
      <c r="D350" t="s">
        <v>689</v>
      </c>
      <c r="E350">
        <v>62120</v>
      </c>
      <c r="F350" t="s">
        <v>314</v>
      </c>
      <c r="G350" t="s">
        <v>243</v>
      </c>
    </row>
    <row r="351" spans="2:7" x14ac:dyDescent="0.55000000000000004">
      <c r="B351" t="s">
        <v>690</v>
      </c>
      <c r="D351" t="s">
        <v>690</v>
      </c>
      <c r="E351">
        <v>62250</v>
      </c>
      <c r="F351" t="s">
        <v>244</v>
      </c>
      <c r="G351" t="s">
        <v>321</v>
      </c>
    </row>
    <row r="352" spans="2:7" x14ac:dyDescent="0.55000000000000004">
      <c r="B352" t="s">
        <v>691</v>
      </c>
      <c r="D352" t="s">
        <v>691</v>
      </c>
      <c r="E352">
        <v>62170</v>
      </c>
      <c r="F352" t="s">
        <v>238</v>
      </c>
      <c r="G352" t="s">
        <v>222</v>
      </c>
    </row>
    <row r="353" spans="2:7" x14ac:dyDescent="0.55000000000000004">
      <c r="B353" t="s">
        <v>692</v>
      </c>
      <c r="D353" t="s">
        <v>692</v>
      </c>
      <c r="E353">
        <v>62223</v>
      </c>
      <c r="F353" t="s">
        <v>217</v>
      </c>
      <c r="G353" t="s">
        <v>313</v>
      </c>
    </row>
    <row r="354" spans="2:7" x14ac:dyDescent="0.55000000000000004">
      <c r="B354" t="s">
        <v>693</v>
      </c>
      <c r="D354" t="s">
        <v>693</v>
      </c>
      <c r="E354">
        <v>62500</v>
      </c>
      <c r="F354" t="s">
        <v>235</v>
      </c>
      <c r="G354" t="s">
        <v>291</v>
      </c>
    </row>
    <row r="355" spans="2:7" x14ac:dyDescent="0.55000000000000004">
      <c r="B355" t="s">
        <v>694</v>
      </c>
      <c r="D355" t="s">
        <v>694</v>
      </c>
      <c r="E355">
        <v>62185</v>
      </c>
      <c r="F355" t="s">
        <v>264</v>
      </c>
      <c r="G355" t="s">
        <v>319</v>
      </c>
    </row>
    <row r="356" spans="2:7" x14ac:dyDescent="0.55000000000000004">
      <c r="B356" t="s">
        <v>695</v>
      </c>
      <c r="D356" t="s">
        <v>695</v>
      </c>
      <c r="E356">
        <v>62430</v>
      </c>
      <c r="F356" t="s">
        <v>226</v>
      </c>
      <c r="G356" t="s">
        <v>253</v>
      </c>
    </row>
    <row r="357" spans="2:7" x14ac:dyDescent="0.55000000000000004">
      <c r="B357" t="s">
        <v>696</v>
      </c>
      <c r="D357" t="s">
        <v>696</v>
      </c>
      <c r="E357">
        <v>62500</v>
      </c>
      <c r="F357" t="s">
        <v>318</v>
      </c>
      <c r="G357" t="s">
        <v>291</v>
      </c>
    </row>
    <row r="358" spans="2:7" x14ac:dyDescent="0.55000000000000004">
      <c r="B358" t="s">
        <v>697</v>
      </c>
      <c r="D358" t="s">
        <v>697</v>
      </c>
      <c r="E358">
        <v>62231</v>
      </c>
      <c r="F358" t="s">
        <v>330</v>
      </c>
      <c r="G358" t="s">
        <v>258</v>
      </c>
    </row>
    <row r="359" spans="2:7" x14ac:dyDescent="0.55000000000000004">
      <c r="B359" t="s">
        <v>698</v>
      </c>
      <c r="D359" t="s">
        <v>698</v>
      </c>
      <c r="E359">
        <v>62121</v>
      </c>
      <c r="F359" t="s">
        <v>196</v>
      </c>
      <c r="G359" t="s">
        <v>256</v>
      </c>
    </row>
    <row r="360" spans="2:7" x14ac:dyDescent="0.55000000000000004">
      <c r="B360" t="s">
        <v>699</v>
      </c>
      <c r="D360" t="s">
        <v>699</v>
      </c>
      <c r="E360">
        <v>62810</v>
      </c>
      <c r="F360" t="s">
        <v>217</v>
      </c>
      <c r="G360" t="s">
        <v>295</v>
      </c>
    </row>
    <row r="361" spans="2:7" x14ac:dyDescent="0.55000000000000004">
      <c r="B361" t="s">
        <v>700</v>
      </c>
      <c r="D361" t="s">
        <v>700</v>
      </c>
      <c r="E361">
        <v>62860</v>
      </c>
      <c r="F361" t="s">
        <v>288</v>
      </c>
      <c r="G361" t="s">
        <v>285</v>
      </c>
    </row>
    <row r="362" spans="2:7" x14ac:dyDescent="0.55000000000000004">
      <c r="B362" t="s">
        <v>701</v>
      </c>
      <c r="D362" t="s">
        <v>701</v>
      </c>
      <c r="E362">
        <v>62240</v>
      </c>
      <c r="F362" t="s">
        <v>290</v>
      </c>
      <c r="G362" t="s">
        <v>282</v>
      </c>
    </row>
    <row r="363" spans="2:7" x14ac:dyDescent="0.55000000000000004">
      <c r="B363" t="s">
        <v>702</v>
      </c>
      <c r="D363" t="s">
        <v>702</v>
      </c>
      <c r="E363">
        <v>62270</v>
      </c>
      <c r="F363" t="s">
        <v>217</v>
      </c>
      <c r="G363" t="s">
        <v>334</v>
      </c>
    </row>
    <row r="364" spans="2:7" x14ac:dyDescent="0.55000000000000004">
      <c r="B364" t="s">
        <v>703</v>
      </c>
      <c r="D364" t="s">
        <v>703</v>
      </c>
      <c r="E364">
        <v>62380</v>
      </c>
      <c r="F364" t="s">
        <v>280</v>
      </c>
      <c r="G364" t="s">
        <v>272</v>
      </c>
    </row>
    <row r="365" spans="2:7" x14ac:dyDescent="0.55000000000000004">
      <c r="B365" t="s">
        <v>704</v>
      </c>
      <c r="D365" t="s">
        <v>704</v>
      </c>
      <c r="E365">
        <v>62270</v>
      </c>
      <c r="F365" t="s">
        <v>217</v>
      </c>
      <c r="G365" t="s">
        <v>334</v>
      </c>
    </row>
    <row r="366" spans="2:7" x14ac:dyDescent="0.55000000000000004">
      <c r="B366" t="s">
        <v>705</v>
      </c>
      <c r="D366" t="s">
        <v>705</v>
      </c>
      <c r="E366">
        <v>62123</v>
      </c>
      <c r="F366" t="s">
        <v>207</v>
      </c>
      <c r="G366" t="s">
        <v>212</v>
      </c>
    </row>
    <row r="367" spans="2:7" x14ac:dyDescent="0.55000000000000004">
      <c r="B367" t="s">
        <v>706</v>
      </c>
      <c r="D367" t="s">
        <v>706</v>
      </c>
      <c r="E367">
        <v>62810</v>
      </c>
      <c r="F367" t="s">
        <v>267</v>
      </c>
      <c r="G367" t="s">
        <v>295</v>
      </c>
    </row>
    <row r="368" spans="2:7" x14ac:dyDescent="0.55000000000000004">
      <c r="B368" t="s">
        <v>707</v>
      </c>
      <c r="D368" t="s">
        <v>707</v>
      </c>
      <c r="E368">
        <v>62179</v>
      </c>
      <c r="F368" t="s">
        <v>244</v>
      </c>
      <c r="G368" t="s">
        <v>339</v>
      </c>
    </row>
    <row r="369" spans="2:7" x14ac:dyDescent="0.55000000000000004">
      <c r="B369" t="s">
        <v>708</v>
      </c>
      <c r="D369" t="s">
        <v>708</v>
      </c>
      <c r="E369">
        <v>62134</v>
      </c>
      <c r="F369" t="s">
        <v>248</v>
      </c>
      <c r="G369" t="s">
        <v>305</v>
      </c>
    </row>
    <row r="370" spans="2:7" x14ac:dyDescent="0.55000000000000004">
      <c r="B370" t="s">
        <v>709</v>
      </c>
      <c r="D370" t="s">
        <v>709</v>
      </c>
      <c r="E370">
        <v>62580</v>
      </c>
      <c r="F370" t="s">
        <v>211</v>
      </c>
      <c r="G370" t="s">
        <v>313</v>
      </c>
    </row>
    <row r="371" spans="2:7" x14ac:dyDescent="0.55000000000000004">
      <c r="B371" t="s">
        <v>711</v>
      </c>
      <c r="D371" t="s">
        <v>711</v>
      </c>
      <c r="E371">
        <v>62217</v>
      </c>
      <c r="F371" t="s">
        <v>207</v>
      </c>
      <c r="G371" t="s">
        <v>303</v>
      </c>
    </row>
    <row r="372" spans="2:7" x14ac:dyDescent="0.55000000000000004">
      <c r="B372" t="s">
        <v>712</v>
      </c>
      <c r="D372" t="s">
        <v>712</v>
      </c>
      <c r="E372">
        <v>62500</v>
      </c>
      <c r="F372" t="s">
        <v>318</v>
      </c>
      <c r="G372" t="s">
        <v>311</v>
      </c>
    </row>
    <row r="373" spans="2:7" x14ac:dyDescent="0.55000000000000004">
      <c r="B373" t="s">
        <v>713</v>
      </c>
      <c r="D373" t="s">
        <v>713</v>
      </c>
      <c r="E373">
        <v>62310</v>
      </c>
      <c r="F373" t="s">
        <v>224</v>
      </c>
      <c r="G373" t="s">
        <v>315</v>
      </c>
    </row>
    <row r="374" spans="2:7" x14ac:dyDescent="0.55000000000000004">
      <c r="B374" t="s">
        <v>714</v>
      </c>
      <c r="D374" t="s">
        <v>714</v>
      </c>
      <c r="E374">
        <v>62490</v>
      </c>
      <c r="F374" t="s">
        <v>255</v>
      </c>
      <c r="G374" t="s">
        <v>322</v>
      </c>
    </row>
    <row r="375" spans="2:7" x14ac:dyDescent="0.55000000000000004">
      <c r="B375" t="s">
        <v>715</v>
      </c>
      <c r="D375" t="s">
        <v>715</v>
      </c>
      <c r="E375">
        <v>62310</v>
      </c>
      <c r="F375" t="s">
        <v>238</v>
      </c>
      <c r="G375" t="s">
        <v>272</v>
      </c>
    </row>
    <row r="376" spans="2:7" x14ac:dyDescent="0.55000000000000004">
      <c r="B376" t="s">
        <v>716</v>
      </c>
      <c r="D376" t="s">
        <v>716</v>
      </c>
      <c r="E376">
        <v>62550</v>
      </c>
      <c r="F376" t="s">
        <v>221</v>
      </c>
      <c r="G376" t="s">
        <v>260</v>
      </c>
    </row>
    <row r="377" spans="2:7" x14ac:dyDescent="0.55000000000000004">
      <c r="B377" t="s">
        <v>717</v>
      </c>
      <c r="D377" t="s">
        <v>717</v>
      </c>
      <c r="E377">
        <v>62159</v>
      </c>
      <c r="F377" t="s">
        <v>196</v>
      </c>
      <c r="G377" t="s">
        <v>312</v>
      </c>
    </row>
    <row r="378" spans="2:7" x14ac:dyDescent="0.55000000000000004">
      <c r="B378" t="s">
        <v>718</v>
      </c>
      <c r="D378" t="s">
        <v>718</v>
      </c>
      <c r="E378">
        <v>62232</v>
      </c>
      <c r="F378" t="s">
        <v>233</v>
      </c>
      <c r="G378" t="s">
        <v>247</v>
      </c>
    </row>
    <row r="379" spans="2:7" x14ac:dyDescent="0.55000000000000004">
      <c r="B379" t="s">
        <v>719</v>
      </c>
      <c r="D379" t="s">
        <v>719</v>
      </c>
      <c r="E379">
        <v>62880</v>
      </c>
      <c r="F379" t="s">
        <v>238</v>
      </c>
      <c r="G379" t="s">
        <v>253</v>
      </c>
    </row>
    <row r="380" spans="2:7" x14ac:dyDescent="0.55000000000000004">
      <c r="B380" t="s">
        <v>720</v>
      </c>
      <c r="D380" t="s">
        <v>720</v>
      </c>
      <c r="E380">
        <v>62560</v>
      </c>
      <c r="F380" t="s">
        <v>314</v>
      </c>
      <c r="G380" t="s">
        <v>320</v>
      </c>
    </row>
    <row r="381" spans="2:7" x14ac:dyDescent="0.55000000000000004">
      <c r="B381" t="s">
        <v>721</v>
      </c>
      <c r="D381" t="s">
        <v>721</v>
      </c>
      <c r="E381">
        <v>62113</v>
      </c>
      <c r="F381" t="s">
        <v>246</v>
      </c>
      <c r="G381" t="s">
        <v>218</v>
      </c>
    </row>
    <row r="382" spans="2:7" x14ac:dyDescent="0.55000000000000004">
      <c r="B382" t="s">
        <v>722</v>
      </c>
      <c r="D382" t="s">
        <v>722</v>
      </c>
      <c r="E382">
        <v>62770</v>
      </c>
      <c r="F382" t="s">
        <v>252</v>
      </c>
      <c r="G382" t="s">
        <v>261</v>
      </c>
    </row>
    <row r="383" spans="2:7" x14ac:dyDescent="0.55000000000000004">
      <c r="B383" t="s">
        <v>723</v>
      </c>
      <c r="D383" t="s">
        <v>723</v>
      </c>
      <c r="E383">
        <v>62162</v>
      </c>
      <c r="F383" t="s">
        <v>330</v>
      </c>
      <c r="G383" t="s">
        <v>265</v>
      </c>
    </row>
    <row r="384" spans="2:7" x14ac:dyDescent="0.55000000000000004">
      <c r="B384" t="s">
        <v>724</v>
      </c>
      <c r="D384" t="s">
        <v>724</v>
      </c>
      <c r="E384">
        <v>62450</v>
      </c>
      <c r="F384" t="s">
        <v>298</v>
      </c>
      <c r="G384" t="s">
        <v>312</v>
      </c>
    </row>
    <row r="385" spans="2:7" x14ac:dyDescent="0.55000000000000004">
      <c r="B385" t="s">
        <v>725</v>
      </c>
      <c r="D385" t="s">
        <v>725</v>
      </c>
      <c r="E385">
        <v>62310</v>
      </c>
      <c r="F385" t="s">
        <v>314</v>
      </c>
      <c r="G385" t="s">
        <v>306</v>
      </c>
    </row>
    <row r="386" spans="2:7" x14ac:dyDescent="0.55000000000000004">
      <c r="B386" t="s">
        <v>726</v>
      </c>
      <c r="D386" t="s">
        <v>726</v>
      </c>
      <c r="E386">
        <v>62156</v>
      </c>
      <c r="F386" t="s">
        <v>288</v>
      </c>
      <c r="G386" t="s">
        <v>287</v>
      </c>
    </row>
    <row r="387" spans="2:7" x14ac:dyDescent="0.55000000000000004">
      <c r="B387" t="s">
        <v>727</v>
      </c>
      <c r="D387" t="s">
        <v>727</v>
      </c>
      <c r="E387">
        <v>62250</v>
      </c>
      <c r="F387" t="s">
        <v>227</v>
      </c>
      <c r="G387" t="s">
        <v>222</v>
      </c>
    </row>
    <row r="388" spans="2:7" x14ac:dyDescent="0.55000000000000004">
      <c r="B388" t="s">
        <v>728</v>
      </c>
      <c r="D388" t="s">
        <v>728</v>
      </c>
      <c r="E388">
        <v>62123</v>
      </c>
      <c r="F388" t="s">
        <v>207</v>
      </c>
      <c r="G388" t="s">
        <v>247</v>
      </c>
    </row>
    <row r="389" spans="2:7" x14ac:dyDescent="0.55000000000000004">
      <c r="B389" t="s">
        <v>729</v>
      </c>
      <c r="D389" t="s">
        <v>729</v>
      </c>
      <c r="E389">
        <v>62142</v>
      </c>
      <c r="F389" t="s">
        <v>235</v>
      </c>
      <c r="G389" t="s">
        <v>232</v>
      </c>
    </row>
    <row r="390" spans="2:7" x14ac:dyDescent="0.55000000000000004">
      <c r="B390" t="s">
        <v>730</v>
      </c>
      <c r="D390" t="s">
        <v>730</v>
      </c>
      <c r="E390">
        <v>62130</v>
      </c>
      <c r="F390" t="s">
        <v>226</v>
      </c>
      <c r="G390" t="s">
        <v>254</v>
      </c>
    </row>
    <row r="391" spans="2:7" x14ac:dyDescent="0.55000000000000004">
      <c r="B391" t="s">
        <v>731</v>
      </c>
      <c r="D391" t="s">
        <v>731</v>
      </c>
      <c r="E391">
        <v>62770</v>
      </c>
      <c r="F391" t="s">
        <v>211</v>
      </c>
      <c r="G391" t="s">
        <v>272</v>
      </c>
    </row>
    <row r="392" spans="2:7" x14ac:dyDescent="0.55000000000000004">
      <c r="B392" t="s">
        <v>732</v>
      </c>
      <c r="D392" t="s">
        <v>732</v>
      </c>
      <c r="E392">
        <v>62390</v>
      </c>
      <c r="F392" t="s">
        <v>288</v>
      </c>
      <c r="G392" t="s">
        <v>265</v>
      </c>
    </row>
    <row r="393" spans="2:7" x14ac:dyDescent="0.55000000000000004">
      <c r="B393" t="s">
        <v>733</v>
      </c>
      <c r="D393" t="s">
        <v>733</v>
      </c>
      <c r="E393">
        <v>62126</v>
      </c>
      <c r="F393" t="s">
        <v>318</v>
      </c>
      <c r="G393" t="s">
        <v>339</v>
      </c>
    </row>
    <row r="394" spans="2:7" x14ac:dyDescent="0.55000000000000004">
      <c r="B394" t="s">
        <v>734</v>
      </c>
      <c r="D394" t="s">
        <v>734</v>
      </c>
      <c r="E394">
        <v>62410</v>
      </c>
      <c r="F394" t="s">
        <v>224</v>
      </c>
      <c r="G394" t="s">
        <v>278</v>
      </c>
    </row>
    <row r="395" spans="2:7" x14ac:dyDescent="0.55000000000000004">
      <c r="B395" t="s">
        <v>735</v>
      </c>
      <c r="D395" t="s">
        <v>735</v>
      </c>
      <c r="E395">
        <v>62240</v>
      </c>
      <c r="F395" t="s">
        <v>215</v>
      </c>
      <c r="G395" t="s">
        <v>297</v>
      </c>
    </row>
    <row r="396" spans="2:7" x14ac:dyDescent="0.55000000000000004">
      <c r="B396" t="s">
        <v>736</v>
      </c>
      <c r="D396" t="s">
        <v>736</v>
      </c>
      <c r="E396">
        <v>62219</v>
      </c>
      <c r="F396" t="s">
        <v>280</v>
      </c>
      <c r="G396" t="s">
        <v>311</v>
      </c>
    </row>
    <row r="397" spans="2:7" x14ac:dyDescent="0.55000000000000004">
      <c r="B397" t="s">
        <v>737</v>
      </c>
      <c r="D397" t="s">
        <v>737</v>
      </c>
      <c r="E397">
        <v>62570</v>
      </c>
      <c r="F397" t="s">
        <v>280</v>
      </c>
      <c r="G397" t="s">
        <v>291</v>
      </c>
    </row>
    <row r="398" spans="2:7" x14ac:dyDescent="0.55000000000000004">
      <c r="B398" t="s">
        <v>738</v>
      </c>
      <c r="D398" t="s">
        <v>738</v>
      </c>
      <c r="E398">
        <v>62820</v>
      </c>
      <c r="F398" t="s">
        <v>224</v>
      </c>
      <c r="G398" t="s">
        <v>197</v>
      </c>
    </row>
    <row r="399" spans="2:7" x14ac:dyDescent="0.55000000000000004">
      <c r="B399" t="s">
        <v>710</v>
      </c>
      <c r="D399" t="s">
        <v>710</v>
      </c>
      <c r="E399">
        <v>62760</v>
      </c>
      <c r="F399" t="s">
        <v>198</v>
      </c>
      <c r="G399" t="s">
        <v>269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2087E-3F31-42F5-9869-DFB4BFFF9E64}">
  <sheetPr codeName="Feuil9">
    <tabColor theme="5"/>
  </sheetPr>
  <dimension ref="A1:C1"/>
  <sheetViews>
    <sheetView workbookViewId="0">
      <selection activeCell="A2" sqref="A2"/>
    </sheetView>
  </sheetViews>
  <sheetFormatPr baseColWidth="10" defaultRowHeight="28.8" x14ac:dyDescent="0.55000000000000004"/>
  <cols>
    <col min="1" max="1" width="14.1015625" customWidth="1"/>
    <col min="3" max="3" width="11.47265625" customWidth="1"/>
  </cols>
  <sheetData>
    <row r="1" spans="1:3" x14ac:dyDescent="0.55000000000000004">
      <c r="A1" t="s">
        <v>32</v>
      </c>
      <c r="B1" t="s">
        <v>29</v>
      </c>
      <c r="C1" t="s">
        <v>30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48C32-2348-44C1-802D-BFDDEEAD44FB}">
  <sheetPr codeName="Feuil10">
    <tabColor theme="5"/>
  </sheetPr>
  <dimension ref="A1:C1"/>
  <sheetViews>
    <sheetView workbookViewId="0">
      <selection sqref="A1:C2"/>
    </sheetView>
  </sheetViews>
  <sheetFormatPr baseColWidth="10" defaultRowHeight="28.8" x14ac:dyDescent="0.55000000000000004"/>
  <cols>
    <col min="1" max="1" width="13.1015625" customWidth="1"/>
    <col min="3" max="3" width="11.1015625" customWidth="1"/>
  </cols>
  <sheetData>
    <row r="1" spans="1:3" x14ac:dyDescent="0.55000000000000004">
      <c r="A1" t="s">
        <v>31</v>
      </c>
      <c r="B1" t="s">
        <v>29</v>
      </c>
      <c r="C1" t="s">
        <v>33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4CADC-9062-4C41-A320-60598C3567F7}">
  <sheetPr codeName="Feuil11">
    <tabColor theme="4"/>
  </sheetPr>
  <dimension ref="A1"/>
  <sheetViews>
    <sheetView workbookViewId="0">
      <selection activeCell="C6" sqref="C6"/>
    </sheetView>
  </sheetViews>
  <sheetFormatPr baseColWidth="10" defaultRowHeight="28.8" x14ac:dyDescent="0.5500000000000000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.</vt:lpstr>
      <vt:lpstr>SALARIE</vt:lpstr>
      <vt:lpstr>CHAUFFEUR</vt:lpstr>
      <vt:lpstr>VEHICULE</vt:lpstr>
      <vt:lpstr>TOURNEE</vt:lpstr>
      <vt:lpstr>ENTREPOT</vt:lpstr>
      <vt:lpstr>PDL</vt:lpstr>
      <vt:lpstr>AFFECTER</vt:lpstr>
      <vt:lpstr>EFFECTUER</vt:lpstr>
      <vt:lpstr>CONCERNER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 Par</dc:creator>
  <cp:lastModifiedBy>Fra Par</cp:lastModifiedBy>
  <dcterms:created xsi:type="dcterms:W3CDTF">2020-07-29T09:55:45Z</dcterms:created>
  <dcterms:modified xsi:type="dcterms:W3CDTF">2023-03-30T20:27:59Z</dcterms:modified>
</cp:coreProperties>
</file>