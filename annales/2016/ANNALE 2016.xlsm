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DCG8\DCG 2022-23\Sujets\"/>
    </mc:Choice>
  </mc:AlternateContent>
  <xr:revisionPtr revIDLastSave="0" documentId="13_ncr:1_{A216F4C6-2A5E-48BE-AFDB-471C5F2D5584}" xr6:coauthVersionLast="47" xr6:coauthVersionMax="47" xr10:uidLastSave="{00000000-0000-0000-0000-000000000000}"/>
  <bookViews>
    <workbookView xWindow="-30648" yWindow="-408" windowWidth="20916" windowHeight="16164" activeTab="1" xr2:uid="{00000000-000D-0000-FFFF-FFFF00000000}"/>
  </bookViews>
  <sheets>
    <sheet name="Données" sheetId="1" r:id="rId1"/>
    <sheet name="Questions" sheetId="2" r:id="rId2"/>
  </sheets>
  <definedNames>
    <definedName name="Tcleints">Données!$A$2:$E$13</definedName>
    <definedName name="Tclients">Données!$A$2:$E$13</definedName>
    <definedName name="Tcontrats">Données!$A$35:$F$41</definedName>
    <definedName name="Ttarifs">Données!$A$46:$C$51</definedName>
    <definedName name="Tvalidations">Données!$A$21:$G$30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2" l="1"/>
</calcChain>
</file>

<file path=xl/sharedStrings.xml><?xml version="1.0" encoding="utf-8"?>
<sst xmlns="http://schemas.openxmlformats.org/spreadsheetml/2006/main" count="222" uniqueCount="130">
  <si>
    <t>CodeCli</t>
  </si>
  <si>
    <t>NomCli</t>
  </si>
  <si>
    <t>AdrCli</t>
  </si>
  <si>
    <t>CpCli</t>
  </si>
  <si>
    <t>VilleCli</t>
  </si>
  <si>
    <t>CLI01</t>
  </si>
  <si>
    <t>CLI02</t>
  </si>
  <si>
    <t>CLI03</t>
  </si>
  <si>
    <t>CLI04</t>
  </si>
  <si>
    <t>CLI05</t>
  </si>
  <si>
    <t>CLI06</t>
  </si>
  <si>
    <t>CLI07</t>
  </si>
  <si>
    <t>CLI08</t>
  </si>
  <si>
    <t>CLI09</t>
  </si>
  <si>
    <t>CLI10</t>
  </si>
  <si>
    <t>CLI11</t>
  </si>
  <si>
    <t>CLI12</t>
  </si>
  <si>
    <t xml:space="preserve">LE COINTRE </t>
  </si>
  <si>
    <t>HERNANDEZ</t>
  </si>
  <si>
    <t>BERNARD</t>
  </si>
  <si>
    <t>ARMANDIN</t>
  </si>
  <si>
    <t>DUCHEMIN</t>
  </si>
  <si>
    <t>LECOUVREUR</t>
  </si>
  <si>
    <t>GALVES</t>
  </si>
  <si>
    <t>MICHA</t>
  </si>
  <si>
    <t>EL FETTOUH</t>
  </si>
  <si>
    <t>MICHALAC</t>
  </si>
  <si>
    <t>LE FORT</t>
  </si>
  <si>
    <t>AGENET</t>
  </si>
  <si>
    <t>32 rue Nationale</t>
  </si>
  <si>
    <t>4 Place Graslin</t>
  </si>
  <si>
    <t>52 Impasse Descartes</t>
  </si>
  <si>
    <t xml:space="preserve">5 Rue des Fleurs </t>
  </si>
  <si>
    <t>6 Rue du Jasmin</t>
  </si>
  <si>
    <t xml:space="preserve">18 Rue du Canal </t>
  </si>
  <si>
    <t xml:space="preserve">25 Avenue de la Liberté </t>
  </si>
  <si>
    <t xml:space="preserve">36 Rue de la Gare </t>
  </si>
  <si>
    <t xml:space="preserve">32 Route de la Flèche </t>
  </si>
  <si>
    <t>52 Rue Saint-Dié</t>
  </si>
  <si>
    <t>15 Rue du Haras</t>
  </si>
  <si>
    <t xml:space="preserve">38 Route de Chaumont </t>
  </si>
  <si>
    <t>Nancy</t>
  </si>
  <si>
    <t>Reims</t>
  </si>
  <si>
    <t>Chaumont</t>
  </si>
  <si>
    <t>Saint-Dié</t>
  </si>
  <si>
    <t>Sochaux</t>
  </si>
  <si>
    <t>Colmart</t>
  </si>
  <si>
    <t>Charleville</t>
  </si>
  <si>
    <t>NumRéservation</t>
  </si>
  <si>
    <t xml:space="preserve">DateValidation </t>
  </si>
  <si>
    <t xml:space="preserve">MontantAcompte </t>
  </si>
  <si>
    <t xml:space="preserve">NumContrat </t>
  </si>
  <si>
    <t>DateRésa</t>
  </si>
  <si>
    <t>Validation</t>
  </si>
  <si>
    <t>R20155508</t>
  </si>
  <si>
    <t>R20155509</t>
  </si>
  <si>
    <t>R20155510</t>
  </si>
  <si>
    <t>R20155511</t>
  </si>
  <si>
    <t>R20155512</t>
  </si>
  <si>
    <t>R2016526</t>
  </si>
  <si>
    <t>R2016527</t>
  </si>
  <si>
    <t>R2016528</t>
  </si>
  <si>
    <t>R2016529</t>
  </si>
  <si>
    <t>R2016530</t>
  </si>
  <si>
    <t>C2015508</t>
  </si>
  <si>
    <t>C2015510</t>
  </si>
  <si>
    <t>C2015511</t>
  </si>
  <si>
    <t>C2015512</t>
  </si>
  <si>
    <t>C201626</t>
  </si>
  <si>
    <t>C201628</t>
  </si>
  <si>
    <t>C201630</t>
  </si>
  <si>
    <t>O</t>
  </si>
  <si>
    <t>N</t>
  </si>
  <si>
    <t>DateContrat</t>
  </si>
  <si>
    <t>DateDepart</t>
  </si>
  <si>
    <t>DateRetour</t>
  </si>
  <si>
    <t>kmsParcourus</t>
  </si>
  <si>
    <t>NumCatég</t>
  </si>
  <si>
    <t>Catég_A</t>
  </si>
  <si>
    <t>Catég_B</t>
  </si>
  <si>
    <t>Catég_E</t>
  </si>
  <si>
    <t>Catég_D</t>
  </si>
  <si>
    <t>Catég_C</t>
  </si>
  <si>
    <t>Catég_F</t>
  </si>
  <si>
    <t>Prix Journée</t>
  </si>
  <si>
    <t>Prix Kms en euros</t>
  </si>
  <si>
    <t>Num</t>
  </si>
  <si>
    <t>Réservation</t>
  </si>
  <si>
    <t>contrat</t>
  </si>
  <si>
    <t>Date</t>
  </si>
  <si>
    <t>Remise</t>
  </si>
  <si>
    <t>Retour</t>
  </si>
  <si>
    <t>Nombre</t>
  </si>
  <si>
    <t>Jours</t>
  </si>
  <si>
    <t>Kms</t>
  </si>
  <si>
    <t>Parcourus</t>
  </si>
  <si>
    <t>Code</t>
  </si>
  <si>
    <t>client</t>
  </si>
  <si>
    <t>Nom</t>
  </si>
  <si>
    <t>Prix</t>
  </si>
  <si>
    <t>Journée</t>
  </si>
  <si>
    <t>Acompte</t>
  </si>
  <si>
    <t>Montant dû</t>
  </si>
  <si>
    <t>NV</t>
  </si>
  <si>
    <t>Total</t>
  </si>
  <si>
    <t>Nombre de contrats validés: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</si>
  <si>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</si>
  <si>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</si>
  <si>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</si>
  <si>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</si>
  <si>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</si>
  <si>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</si>
  <si>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</si>
  <si>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</si>
  <si>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</si>
  <si>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</si>
  <si>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</si>
  <si>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</si>
  <si>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Armandin</t>
  </si>
  <si>
    <t xml:space="preserve"> NV</t>
  </si>
  <si>
    <t xml:space="preserve"> </t>
  </si>
  <si>
    <t>Michalac</t>
  </si>
  <si>
    <t>Le Cointre</t>
  </si>
  <si>
    <t>Agenet</t>
  </si>
  <si>
    <t>Total jours location</t>
  </si>
  <si>
    <t>11 100</t>
  </si>
  <si>
    <t>NV = Non validée</t>
  </si>
  <si>
    <t>Nombre de contrats non validés :</t>
  </si>
  <si>
    <t>Mettre les formules dans les cases coloriées</t>
  </si>
  <si>
    <t>Les formules doivent pouvoir être étirées sans erreurs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</si>
</sst>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#,##0.00\ &quot;€&quot;;[Red]\-#,##0.00\ &quot;€&quot;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Times New Roman"/>
      <family val="1"/>
    </font>
    <font>
      <sz val="11"/>
      <color rgb="FF00000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E5DFEC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horizontal="center" vertical="center"/>
    </xf>
    <xf numFmtId="0" fontId="0" fillId="0" borderId="1" xfId="0" applyBorder="1" applyAlignment="1">
      <alignment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2" fillId="0" borderId="7" xfId="0" applyFont="1" applyBorder="1" applyAlignment="1">
      <alignment horizontal="right" vertical="center"/>
    </xf>
    <xf numFmtId="0" fontId="3" fillId="0" borderId="9" xfId="0" applyFont="1" applyBorder="1" applyAlignment="1">
      <alignment vertical="center"/>
    </xf>
    <xf numFmtId="0" fontId="3" fillId="3" borderId="9" xfId="0" applyFont="1" applyFill="1" applyBorder="1" applyAlignment="1">
      <alignment vertical="center"/>
    </xf>
    <xf numFmtId="14" fontId="3" fillId="0" borderId="9" xfId="0" applyNumberFormat="1" applyFont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8" fontId="3" fillId="0" borderId="9" xfId="0" applyNumberFormat="1" applyFont="1" applyBorder="1" applyAlignment="1">
      <alignment horizontal="center" vertical="center"/>
    </xf>
    <xf numFmtId="8" fontId="3" fillId="3" borderId="9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0" xfId="0" applyBorder="1" applyAlignment="1">
      <alignment vertical="center"/>
    </xf>
    <xf numFmtId="0" fontId="3" fillId="0" borderId="10" xfId="0" applyFont="1" applyBorder="1" applyAlignment="1">
      <alignment horizontal="right" vertical="center"/>
    </xf>
    <xf numFmtId="0" fontId="3" fillId="3" borderId="9" xfId="0" applyFont="1" applyFill="1" applyBorder="1" applyAlignment="1">
      <alignment horizontal="right" vertical="center"/>
    </xf>
    <xf numFmtId="0" fontId="2" fillId="0" borderId="15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1" xfId="0" applyFont="1" applyBorder="1" applyAlignment="1">
      <alignment horizontal="right" vertical="center"/>
    </xf>
    <xf numFmtId="0" fontId="2" fillId="0" borderId="7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3" fontId="3" fillId="0" borderId="15" xfId="0" applyNumberFormat="1" applyFont="1" applyBorder="1" applyAlignment="1">
      <alignment horizontal="right" vertical="center"/>
    </xf>
    <xf numFmtId="3" fontId="3" fillId="0" borderId="3" xfId="0" applyNumberFormat="1" applyFont="1" applyBorder="1" applyAlignment="1">
      <alignment horizontal="right" vertical="center"/>
    </xf>
    <xf numFmtId="0" fontId="3" fillId="0" borderId="15" xfId="0" applyFont="1" applyBorder="1" applyAlignment="1">
      <alignment vertical="center"/>
    </xf>
    <xf numFmtId="0" fontId="3" fillId="0" borderId="3" xfId="0" applyFont="1" applyBorder="1" applyAlignment="1">
      <alignment vertical="center"/>
    </xf>
    <xf numFmtId="0" fontId="3" fillId="0" borderId="15" xfId="0" applyFont="1" applyBorder="1" applyAlignment="1">
      <alignment horizontal="right" vertical="center"/>
    </xf>
    <xf numFmtId="0" fontId="3" fillId="0" borderId="3" xfId="0" applyFont="1" applyBorder="1" applyAlignment="1">
      <alignment horizontal="right" vertical="center"/>
    </xf>
    <xf numFmtId="0" fontId="0" fillId="0" borderId="0" xfId="0" applyAlignment="1">
      <alignment vertical="center"/>
    </xf>
    <xf numFmtId="0" fontId="0" fillId="0" borderId="12" xfId="0" applyBorder="1" applyAlignment="1">
      <alignment vertical="center"/>
    </xf>
    <xf numFmtId="0" fontId="0" fillId="0" borderId="13" xfId="0" applyBorder="1" applyAlignment="1">
      <alignment vertical="center"/>
    </xf>
    <xf numFmtId="0" fontId="3" fillId="0" borderId="15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6" xfId="0" applyFont="1" applyBorder="1" applyAlignment="1">
      <alignment vertical="center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G51"/>
  <sheetViews>
    <sheetView workbookViewId="0">
      <selection activeCell="H24" sqref="H24"/>
    </sheetView>
  </sheetViews>
  <sheetFormatPr baseColWidth="10" defaultRowHeight="14.4" x14ac:dyDescent="0.3"/>
  <cols>
    <col min="1" max="1" width="15.88671875" bestFit="1" customWidth="1"/>
    <col min="2" max="2" width="12.5546875" bestFit="1" customWidth="1"/>
    <col min="3" max="3" width="22.44140625" bestFit="1" customWidth="1"/>
    <col min="5" max="5" width="13.33203125" bestFit="1" customWidth="1"/>
  </cols>
  <sheetData>
    <row r="1" spans="1:5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t="s">
        <v>5</v>
      </c>
      <c r="B2" t="s">
        <v>17</v>
      </c>
      <c r="C2" t="s">
        <v>29</v>
      </c>
      <c r="D2">
        <v>54000</v>
      </c>
      <c r="E2" t="s">
        <v>41</v>
      </c>
    </row>
    <row r="3" spans="1:5" x14ac:dyDescent="0.3">
      <c r="A3" t="s">
        <v>6</v>
      </c>
      <c r="B3" t="s">
        <v>18</v>
      </c>
      <c r="C3" t="s">
        <v>30</v>
      </c>
      <c r="D3">
        <v>54000</v>
      </c>
      <c r="E3" t="s">
        <v>41</v>
      </c>
    </row>
    <row r="4" spans="1:5" x14ac:dyDescent="0.3">
      <c r="A4" t="s">
        <v>7</v>
      </c>
      <c r="B4" t="s">
        <v>19</v>
      </c>
      <c r="C4" t="s">
        <v>31</v>
      </c>
      <c r="D4">
        <v>54000</v>
      </c>
      <c r="E4" t="s">
        <v>41</v>
      </c>
    </row>
    <row r="5" spans="1:5" x14ac:dyDescent="0.3">
      <c r="A5" t="s">
        <v>8</v>
      </c>
      <c r="B5" t="s">
        <v>20</v>
      </c>
      <c r="C5" t="s">
        <v>32</v>
      </c>
      <c r="D5">
        <v>51100</v>
      </c>
      <c r="E5" t="s">
        <v>42</v>
      </c>
    </row>
    <row r="6" spans="1:5" x14ac:dyDescent="0.3">
      <c r="A6" t="s">
        <v>9</v>
      </c>
      <c r="B6" t="s">
        <v>21</v>
      </c>
      <c r="C6" t="s">
        <v>33</v>
      </c>
      <c r="D6">
        <v>51100</v>
      </c>
      <c r="E6" t="s">
        <v>42</v>
      </c>
    </row>
    <row r="7" spans="1:5" x14ac:dyDescent="0.3">
      <c r="A7" t="s">
        <v>10</v>
      </c>
      <c r="B7" t="s">
        <v>22</v>
      </c>
      <c r="C7" t="s">
        <v>34</v>
      </c>
      <c r="D7">
        <v>52000</v>
      </c>
      <c r="E7" t="s">
        <v>43</v>
      </c>
    </row>
    <row r="8" spans="1:5" x14ac:dyDescent="0.3">
      <c r="A8" t="s">
        <v>11</v>
      </c>
      <c r="B8" t="s">
        <v>23</v>
      </c>
      <c r="C8" t="s">
        <v>35</v>
      </c>
      <c r="D8">
        <v>52000</v>
      </c>
      <c r="E8" t="s">
        <v>43</v>
      </c>
    </row>
    <row r="9" spans="1:5" x14ac:dyDescent="0.3">
      <c r="A9" t="s">
        <v>12</v>
      </c>
      <c r="B9" t="s">
        <v>24</v>
      </c>
      <c r="C9" t="s">
        <v>36</v>
      </c>
      <c r="D9">
        <v>88100</v>
      </c>
      <c r="E9" t="s">
        <v>44</v>
      </c>
    </row>
    <row r="10" spans="1:5" x14ac:dyDescent="0.3">
      <c r="A10" t="s">
        <v>13</v>
      </c>
      <c r="B10" t="s">
        <v>25</v>
      </c>
      <c r="C10" t="s">
        <v>37</v>
      </c>
      <c r="D10">
        <v>25600</v>
      </c>
      <c r="E10" t="s">
        <v>45</v>
      </c>
    </row>
    <row r="11" spans="1:5" x14ac:dyDescent="0.3">
      <c r="A11" t="s">
        <v>14</v>
      </c>
      <c r="B11" t="s">
        <v>26</v>
      </c>
      <c r="C11" t="s">
        <v>38</v>
      </c>
      <c r="D11">
        <v>68000</v>
      </c>
      <c r="E11" t="s">
        <v>46</v>
      </c>
    </row>
    <row r="12" spans="1:5" x14ac:dyDescent="0.3">
      <c r="A12" t="s">
        <v>15</v>
      </c>
      <c r="B12" t="s">
        <v>27</v>
      </c>
      <c r="C12" t="s">
        <v>39</v>
      </c>
      <c r="D12">
        <v>8800</v>
      </c>
      <c r="E12" t="s">
        <v>47</v>
      </c>
    </row>
    <row r="13" spans="1:5" x14ac:dyDescent="0.3">
      <c r="A13" t="s">
        <v>16</v>
      </c>
      <c r="B13" t="s">
        <v>28</v>
      </c>
      <c r="C13" t="s">
        <v>40</v>
      </c>
      <c r="D13">
        <v>8000</v>
      </c>
      <c r="E13" t="s">
        <v>47</v>
      </c>
    </row>
    <row r="20" spans="1:7" x14ac:dyDescent="0.3">
      <c r="A20" s="1" t="s">
        <v>48</v>
      </c>
      <c r="B20" s="1" t="s">
        <v>0</v>
      </c>
      <c r="C20" s="1" t="s">
        <v>49</v>
      </c>
      <c r="D20" s="1" t="s">
        <v>50</v>
      </c>
      <c r="E20" s="1" t="s">
        <v>51</v>
      </c>
      <c r="F20" s="1" t="s">
        <v>52</v>
      </c>
      <c r="G20" s="1" t="s">
        <v>53</v>
      </c>
    </row>
    <row r="21" spans="1:7" x14ac:dyDescent="0.3">
      <c r="A21" t="s">
        <v>54</v>
      </c>
      <c r="B21" t="s">
        <v>8</v>
      </c>
      <c r="C21" s="2">
        <v>42340</v>
      </c>
      <c r="D21">
        <v>250</v>
      </c>
      <c r="E21" t="s">
        <v>64</v>
      </c>
      <c r="F21" s="2">
        <v>42339</v>
      </c>
      <c r="G21" s="3" t="s">
        <v>71</v>
      </c>
    </row>
    <row r="22" spans="1:7" x14ac:dyDescent="0.3">
      <c r="A22" t="s">
        <v>55</v>
      </c>
      <c r="B22" t="s">
        <v>10</v>
      </c>
      <c r="C22" s="2"/>
      <c r="F22" s="2">
        <v>42340</v>
      </c>
      <c r="G22" s="3" t="s">
        <v>72</v>
      </c>
    </row>
    <row r="23" spans="1:7" x14ac:dyDescent="0.3">
      <c r="A23" t="s">
        <v>56</v>
      </c>
      <c r="B23" t="s">
        <v>14</v>
      </c>
      <c r="C23" s="2">
        <v>42350</v>
      </c>
      <c r="D23">
        <v>460</v>
      </c>
      <c r="E23" t="s">
        <v>65</v>
      </c>
      <c r="F23" s="2">
        <v>42350</v>
      </c>
      <c r="G23" s="3" t="s">
        <v>71</v>
      </c>
    </row>
    <row r="24" spans="1:7" x14ac:dyDescent="0.3">
      <c r="A24" t="s">
        <v>57</v>
      </c>
      <c r="B24" t="s">
        <v>5</v>
      </c>
      <c r="C24" s="2">
        <v>42360</v>
      </c>
      <c r="D24">
        <v>460</v>
      </c>
      <c r="E24" t="s">
        <v>66</v>
      </c>
      <c r="F24" s="2">
        <v>42359</v>
      </c>
      <c r="G24" s="3" t="s">
        <v>71</v>
      </c>
    </row>
    <row r="25" spans="1:7" x14ac:dyDescent="0.3">
      <c r="A25" t="s">
        <v>58</v>
      </c>
      <c r="B25" t="s">
        <v>8</v>
      </c>
      <c r="C25" s="2">
        <v>42360</v>
      </c>
      <c r="D25">
        <v>250</v>
      </c>
      <c r="E25" t="s">
        <v>67</v>
      </c>
      <c r="F25" s="2">
        <v>42360</v>
      </c>
      <c r="G25" s="3" t="s">
        <v>71</v>
      </c>
    </row>
    <row r="26" spans="1:7" x14ac:dyDescent="0.3">
      <c r="A26" t="s">
        <v>59</v>
      </c>
      <c r="B26" t="s">
        <v>5</v>
      </c>
      <c r="C26" s="2">
        <v>42372</v>
      </c>
      <c r="D26">
        <v>250</v>
      </c>
      <c r="E26" t="s">
        <v>68</v>
      </c>
      <c r="F26" s="2">
        <v>42372</v>
      </c>
      <c r="G26" s="3" t="s">
        <v>71</v>
      </c>
    </row>
    <row r="27" spans="1:7" x14ac:dyDescent="0.3">
      <c r="A27" t="s">
        <v>60</v>
      </c>
      <c r="B27" t="s">
        <v>15</v>
      </c>
      <c r="C27" s="2"/>
      <c r="F27" s="2">
        <v>42373</v>
      </c>
      <c r="G27" s="3" t="s">
        <v>72</v>
      </c>
    </row>
    <row r="28" spans="1:7" x14ac:dyDescent="0.3">
      <c r="A28" t="s">
        <v>61</v>
      </c>
      <c r="B28" t="s">
        <v>8</v>
      </c>
      <c r="C28" s="2">
        <v>42374</v>
      </c>
      <c r="D28">
        <v>460</v>
      </c>
      <c r="E28" t="s">
        <v>69</v>
      </c>
      <c r="F28" s="2">
        <v>42374</v>
      </c>
      <c r="G28" s="3" t="s">
        <v>71</v>
      </c>
    </row>
    <row r="29" spans="1:7" x14ac:dyDescent="0.3">
      <c r="A29" t="s">
        <v>62</v>
      </c>
      <c r="B29" t="s">
        <v>13</v>
      </c>
      <c r="C29" s="2"/>
      <c r="F29" s="2">
        <v>42375</v>
      </c>
      <c r="G29" s="3" t="s">
        <v>72</v>
      </c>
    </row>
    <row r="30" spans="1:7" x14ac:dyDescent="0.3">
      <c r="A30" t="s">
        <v>63</v>
      </c>
      <c r="B30" t="s">
        <v>16</v>
      </c>
      <c r="C30" s="2">
        <v>42376</v>
      </c>
      <c r="D30">
        <v>250</v>
      </c>
      <c r="E30" t="s">
        <v>70</v>
      </c>
      <c r="F30" s="2">
        <v>42376</v>
      </c>
      <c r="G30" s="3" t="s">
        <v>71</v>
      </c>
    </row>
    <row r="34" spans="1:6" x14ac:dyDescent="0.3">
      <c r="A34" s="1" t="s">
        <v>51</v>
      </c>
      <c r="B34" s="1" t="s">
        <v>73</v>
      </c>
      <c r="C34" s="1" t="s">
        <v>74</v>
      </c>
      <c r="D34" s="1" t="s">
        <v>75</v>
      </c>
      <c r="E34" s="1" t="s">
        <v>76</v>
      </c>
      <c r="F34" s="1" t="s">
        <v>77</v>
      </c>
    </row>
    <row r="35" spans="1:6" x14ac:dyDescent="0.3">
      <c r="A35" t="s">
        <v>64</v>
      </c>
      <c r="B35" s="2">
        <v>42340</v>
      </c>
      <c r="C35" s="2">
        <v>42340</v>
      </c>
      <c r="D35" s="2">
        <v>42343</v>
      </c>
      <c r="E35">
        <v>1650</v>
      </c>
      <c r="F35" t="s">
        <v>78</v>
      </c>
    </row>
    <row r="36" spans="1:6" x14ac:dyDescent="0.3">
      <c r="A36" t="s">
        <v>65</v>
      </c>
      <c r="B36" s="2">
        <v>42350</v>
      </c>
      <c r="C36" s="2">
        <v>42351</v>
      </c>
      <c r="D36" s="2">
        <v>42363</v>
      </c>
      <c r="E36">
        <v>1536</v>
      </c>
      <c r="F36" t="s">
        <v>81</v>
      </c>
    </row>
    <row r="37" spans="1:6" x14ac:dyDescent="0.3">
      <c r="A37" t="s">
        <v>66</v>
      </c>
      <c r="B37" s="2">
        <v>42360</v>
      </c>
      <c r="C37" s="2">
        <v>42360</v>
      </c>
      <c r="D37" s="2">
        <v>42367</v>
      </c>
      <c r="E37">
        <v>897</v>
      </c>
      <c r="F37" t="s">
        <v>80</v>
      </c>
    </row>
    <row r="38" spans="1:6" x14ac:dyDescent="0.3">
      <c r="A38" t="s">
        <v>67</v>
      </c>
      <c r="B38" s="2">
        <v>42360</v>
      </c>
      <c r="C38" s="2">
        <v>42361</v>
      </c>
      <c r="D38" s="2">
        <v>42371</v>
      </c>
      <c r="E38">
        <v>1860</v>
      </c>
      <c r="F38" t="s">
        <v>78</v>
      </c>
    </row>
    <row r="39" spans="1:6" x14ac:dyDescent="0.3">
      <c r="A39" t="s">
        <v>68</v>
      </c>
      <c r="B39" s="2">
        <v>42372</v>
      </c>
      <c r="C39" s="2">
        <v>42373</v>
      </c>
      <c r="D39" s="2">
        <v>42380</v>
      </c>
      <c r="E39">
        <v>698</v>
      </c>
      <c r="F39" t="s">
        <v>82</v>
      </c>
    </row>
    <row r="40" spans="1:6" x14ac:dyDescent="0.3">
      <c r="A40" t="s">
        <v>69</v>
      </c>
      <c r="B40" s="2">
        <v>42374</v>
      </c>
      <c r="C40" s="2">
        <v>42374</v>
      </c>
      <c r="D40" s="2">
        <v>42376</v>
      </c>
      <c r="E40">
        <v>3890</v>
      </c>
      <c r="F40" t="s">
        <v>79</v>
      </c>
    </row>
    <row r="41" spans="1:6" x14ac:dyDescent="0.3">
      <c r="A41" t="s">
        <v>70</v>
      </c>
      <c r="B41" s="2">
        <v>42376</v>
      </c>
      <c r="C41" s="2">
        <v>42376</v>
      </c>
      <c r="D41" s="2">
        <v>42379</v>
      </c>
      <c r="E41">
        <v>569</v>
      </c>
      <c r="F41" t="s">
        <v>83</v>
      </c>
    </row>
    <row r="45" spans="1:6" x14ac:dyDescent="0.3">
      <c r="A45" s="1" t="s">
        <v>77</v>
      </c>
      <c r="B45" s="1" t="s">
        <v>84</v>
      </c>
      <c r="C45" s="1" t="s">
        <v>85</v>
      </c>
    </row>
    <row r="46" spans="1:6" x14ac:dyDescent="0.3">
      <c r="A46" t="s">
        <v>78</v>
      </c>
      <c r="B46">
        <v>29</v>
      </c>
      <c r="C46">
        <v>0.18</v>
      </c>
    </row>
    <row r="47" spans="1:6" x14ac:dyDescent="0.3">
      <c r="A47" t="s">
        <v>79</v>
      </c>
      <c r="B47">
        <v>33</v>
      </c>
      <c r="C47">
        <v>0.2</v>
      </c>
    </row>
    <row r="48" spans="1:6" x14ac:dyDescent="0.3">
      <c r="A48" t="s">
        <v>82</v>
      </c>
      <c r="B48">
        <v>36</v>
      </c>
      <c r="C48">
        <v>0.25</v>
      </c>
    </row>
    <row r="49" spans="1:3" x14ac:dyDescent="0.3">
      <c r="A49" t="s">
        <v>81</v>
      </c>
      <c r="B49">
        <v>59</v>
      </c>
      <c r="C49">
        <v>0.28000000000000003</v>
      </c>
    </row>
    <row r="50" spans="1:3" x14ac:dyDescent="0.3">
      <c r="A50" t="s">
        <v>80</v>
      </c>
      <c r="B50">
        <v>65</v>
      </c>
      <c r="C50">
        <v>0.3</v>
      </c>
    </row>
    <row r="51" spans="1:3" x14ac:dyDescent="0.3">
      <c r="A51" t="s">
        <v>83</v>
      </c>
      <c r="B51">
        <v>112</v>
      </c>
      <c r="C51">
        <v>0.35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3368F-A455-40B3-8280-3F09507B9D82}">
  <sheetPr codeName="Feuil2"/>
  <dimension ref="A1:N24"/>
  <sheetViews>
    <sheetView tabSelected="1" workbookViewId="0">
      <selection activeCell="B25" sqref="B25"/>
    </sheetView>
  </sheetViews>
  <sheetFormatPr baseColWidth="10" defaultRowHeight="14.4" x14ac:dyDescent="0.3"/>
  <sheetData>
    <row r="1" spans="1:14" ht="15" thickBot="1" x14ac:dyDescent="0.35">
      <c r="A1" s="4"/>
      <c r="B1" s="5" t="s">
        <v>106</v>
      </c>
      <c r="C1" s="6" t="s">
        <v>107</v>
      </c>
      <c r="D1" s="6" t="s">
        <v>108</v>
      </c>
      <c r="E1" s="6" t="s">
        <v>109</v>
      </c>
      <c r="F1" s="6" t="s">
        <v>110</v>
      </c>
      <c r="G1" s="22" t="s">
        <v>111</v>
      </c>
      <c r="H1" s="23"/>
      <c r="I1" s="6" t="s">
        <v>112</v>
      </c>
      <c r="J1" s="6" t="s">
        <v>113</v>
      </c>
      <c r="K1" s="6" t="s">
        <v>114</v>
      </c>
      <c r="L1" s="6" t="s">
        <v>115</v>
      </c>
      <c r="M1" s="6" t="s">
        <v>116</v>
      </c>
      <c r="N1" s="6" t="s">
        <v>117</v>
      </c>
    </row>
    <row r="2" spans="1:14" x14ac:dyDescent="0.3">
      <c r="A2" s="24">
        <v>3</v>
      </c>
      <c r="B2" s="7" t="s">
        <v>86</v>
      </c>
      <c r="C2" s="9" t="s">
        <v>86</v>
      </c>
      <c r="D2" s="9" t="s">
        <v>89</v>
      </c>
      <c r="E2" s="9" t="s">
        <v>89</v>
      </c>
      <c r="F2" s="9" t="s">
        <v>92</v>
      </c>
      <c r="G2" s="26" t="s">
        <v>94</v>
      </c>
      <c r="H2" s="27"/>
      <c r="I2" s="9" t="s">
        <v>96</v>
      </c>
      <c r="J2" s="9" t="s">
        <v>98</v>
      </c>
      <c r="K2" s="9" t="s">
        <v>99</v>
      </c>
      <c r="L2" s="9" t="s">
        <v>99</v>
      </c>
      <c r="M2" s="30" t="s">
        <v>101</v>
      </c>
      <c r="N2" s="30" t="s">
        <v>102</v>
      </c>
    </row>
    <row r="3" spans="1:14" ht="15" thickBot="1" x14ac:dyDescent="0.35">
      <c r="A3" s="25"/>
      <c r="B3" s="8" t="s">
        <v>87</v>
      </c>
      <c r="C3" s="10" t="s">
        <v>88</v>
      </c>
      <c r="D3" s="10" t="s">
        <v>90</v>
      </c>
      <c r="E3" s="10" t="s">
        <v>91</v>
      </c>
      <c r="F3" s="10" t="s">
        <v>93</v>
      </c>
      <c r="G3" s="28" t="s">
        <v>95</v>
      </c>
      <c r="H3" s="29"/>
      <c r="I3" s="10" t="s">
        <v>97</v>
      </c>
      <c r="J3" s="10" t="s">
        <v>97</v>
      </c>
      <c r="K3" s="10" t="s">
        <v>100</v>
      </c>
      <c r="L3" s="10" t="s">
        <v>94</v>
      </c>
      <c r="M3" s="31"/>
      <c r="N3" s="31"/>
    </row>
    <row r="4" spans="1:14" ht="15" thickBot="1" x14ac:dyDescent="0.35">
      <c r="A4" s="11">
        <v>4</v>
      </c>
      <c r="B4" s="12" t="s">
        <v>54</v>
      </c>
      <c r="C4" s="13" t="str">
        <f>VLOOKUP(B4,Tvalidations,5,FALSE)</f>
        <v>C2015508</v>
      </c>
      <c r="D4" s="14">
        <v>42340</v>
      </c>
      <c r="E4" s="14">
        <v>42343</v>
      </c>
      <c r="F4" s="15">
        <v>3</v>
      </c>
      <c r="G4" s="32">
        <v>1650</v>
      </c>
      <c r="H4" s="33"/>
      <c r="I4" s="10" t="s">
        <v>8</v>
      </c>
      <c r="J4" s="12" t="s">
        <v>118</v>
      </c>
      <c r="K4" s="16">
        <v>29</v>
      </c>
      <c r="L4" s="10">
        <v>0.18</v>
      </c>
      <c r="M4" s="16">
        <v>250</v>
      </c>
      <c r="N4" s="17">
        <v>134</v>
      </c>
    </row>
    <row r="5" spans="1:14" ht="15" thickBot="1" x14ac:dyDescent="0.35">
      <c r="A5" s="11">
        <v>5</v>
      </c>
      <c r="B5" s="12" t="s">
        <v>55</v>
      </c>
      <c r="C5" s="10" t="s">
        <v>103</v>
      </c>
      <c r="D5" s="10" t="s">
        <v>119</v>
      </c>
      <c r="E5" s="10" t="s">
        <v>119</v>
      </c>
      <c r="F5" s="10"/>
      <c r="G5" s="34"/>
      <c r="H5" s="35"/>
      <c r="I5" s="10"/>
      <c r="J5" s="12"/>
      <c r="K5" s="10" t="s">
        <v>120</v>
      </c>
      <c r="L5" s="10"/>
      <c r="M5" s="10" t="s">
        <v>120</v>
      </c>
      <c r="N5" s="10" t="s">
        <v>120</v>
      </c>
    </row>
    <row r="6" spans="1:14" ht="15" thickBot="1" x14ac:dyDescent="0.35">
      <c r="A6" s="11">
        <v>6</v>
      </c>
      <c r="B6" s="12" t="s">
        <v>56</v>
      </c>
      <c r="C6" s="12" t="s">
        <v>65</v>
      </c>
      <c r="D6" s="14">
        <v>42351</v>
      </c>
      <c r="E6" s="14">
        <v>42363</v>
      </c>
      <c r="F6" s="10">
        <v>12</v>
      </c>
      <c r="G6" s="32">
        <v>1536</v>
      </c>
      <c r="H6" s="33"/>
      <c r="I6" s="10" t="s">
        <v>14</v>
      </c>
      <c r="J6" s="12" t="s">
        <v>121</v>
      </c>
      <c r="K6" s="16">
        <v>59</v>
      </c>
      <c r="L6" s="10">
        <v>0.28000000000000003</v>
      </c>
      <c r="M6" s="16">
        <v>460</v>
      </c>
      <c r="N6" s="16">
        <v>678.08</v>
      </c>
    </row>
    <row r="7" spans="1:14" ht="15" thickBot="1" x14ac:dyDescent="0.35">
      <c r="A7" s="11">
        <v>7</v>
      </c>
      <c r="B7" s="12" t="s">
        <v>57</v>
      </c>
      <c r="C7" s="12" t="s">
        <v>66</v>
      </c>
      <c r="D7" s="14">
        <v>42360</v>
      </c>
      <c r="E7" s="14">
        <v>42367</v>
      </c>
      <c r="F7" s="10">
        <v>7</v>
      </c>
      <c r="G7" s="36">
        <v>897</v>
      </c>
      <c r="H7" s="37"/>
      <c r="I7" s="10" t="s">
        <v>5</v>
      </c>
      <c r="J7" s="12" t="s">
        <v>122</v>
      </c>
      <c r="K7" s="16">
        <v>65</v>
      </c>
      <c r="L7" s="10">
        <v>0.3</v>
      </c>
      <c r="M7" s="16">
        <v>460</v>
      </c>
      <c r="N7" s="16">
        <v>264.10000000000002</v>
      </c>
    </row>
    <row r="8" spans="1:14" ht="15" thickBot="1" x14ac:dyDescent="0.35">
      <c r="A8" s="11">
        <v>8</v>
      </c>
      <c r="B8" s="12" t="s">
        <v>58</v>
      </c>
      <c r="C8" s="12" t="s">
        <v>67</v>
      </c>
      <c r="D8" s="14">
        <v>42361</v>
      </c>
      <c r="E8" s="14">
        <v>42371</v>
      </c>
      <c r="F8" s="10">
        <v>10</v>
      </c>
      <c r="G8" s="32">
        <v>1860</v>
      </c>
      <c r="H8" s="33"/>
      <c r="I8" s="10" t="s">
        <v>8</v>
      </c>
      <c r="J8" s="12" t="s">
        <v>118</v>
      </c>
      <c r="K8" s="16">
        <v>29</v>
      </c>
      <c r="L8" s="10">
        <v>0.18</v>
      </c>
      <c r="M8" s="16">
        <v>250</v>
      </c>
      <c r="N8" s="16">
        <v>374.8</v>
      </c>
    </row>
    <row r="9" spans="1:14" ht="15" thickBot="1" x14ac:dyDescent="0.35">
      <c r="A9" s="11">
        <v>9</v>
      </c>
      <c r="B9" s="12" t="s">
        <v>59</v>
      </c>
      <c r="C9" s="12" t="s">
        <v>68</v>
      </c>
      <c r="D9" s="14">
        <v>42373</v>
      </c>
      <c r="E9" s="14">
        <v>42380</v>
      </c>
      <c r="F9" s="10">
        <v>7</v>
      </c>
      <c r="G9" s="36">
        <v>698</v>
      </c>
      <c r="H9" s="37"/>
      <c r="I9" s="10" t="s">
        <v>5</v>
      </c>
      <c r="J9" s="12" t="s">
        <v>122</v>
      </c>
      <c r="K9" s="16">
        <v>36</v>
      </c>
      <c r="L9" s="10">
        <v>0.25</v>
      </c>
      <c r="M9" s="16">
        <v>250</v>
      </c>
      <c r="N9" s="16">
        <v>176.5</v>
      </c>
    </row>
    <row r="10" spans="1:14" ht="15" thickBot="1" x14ac:dyDescent="0.35">
      <c r="A10" s="11">
        <v>10</v>
      </c>
      <c r="B10" s="12" t="s">
        <v>60</v>
      </c>
      <c r="C10" s="10" t="s">
        <v>103</v>
      </c>
      <c r="D10" s="10" t="s">
        <v>119</v>
      </c>
      <c r="E10" s="10" t="s">
        <v>119</v>
      </c>
      <c r="F10" s="10"/>
      <c r="G10" s="34"/>
      <c r="H10" s="35"/>
      <c r="I10" s="10"/>
      <c r="J10" s="12"/>
      <c r="K10" s="10" t="s">
        <v>120</v>
      </c>
      <c r="L10" s="10"/>
      <c r="M10" s="10" t="s">
        <v>120</v>
      </c>
      <c r="N10" s="10" t="s">
        <v>120</v>
      </c>
    </row>
    <row r="11" spans="1:14" ht="15" thickBot="1" x14ac:dyDescent="0.35">
      <c r="A11" s="11">
        <v>11</v>
      </c>
      <c r="B11" s="12" t="s">
        <v>61</v>
      </c>
      <c r="C11" s="12" t="s">
        <v>69</v>
      </c>
      <c r="D11" s="14">
        <v>42374</v>
      </c>
      <c r="E11" s="14">
        <v>42376</v>
      </c>
      <c r="F11" s="10">
        <v>2</v>
      </c>
      <c r="G11" s="32">
        <v>3890</v>
      </c>
      <c r="H11" s="33"/>
      <c r="I11" s="10" t="s">
        <v>8</v>
      </c>
      <c r="J11" s="12" t="s">
        <v>118</v>
      </c>
      <c r="K11" s="16">
        <v>33</v>
      </c>
      <c r="L11" s="10">
        <v>0.2</v>
      </c>
      <c r="M11" s="16">
        <v>460</v>
      </c>
      <c r="N11" s="16">
        <v>384</v>
      </c>
    </row>
    <row r="12" spans="1:14" ht="15" thickBot="1" x14ac:dyDescent="0.35">
      <c r="A12" s="11">
        <v>12</v>
      </c>
      <c r="B12" s="12" t="s">
        <v>62</v>
      </c>
      <c r="C12" s="10" t="s">
        <v>103</v>
      </c>
      <c r="D12" s="10" t="s">
        <v>119</v>
      </c>
      <c r="E12" s="10" t="s">
        <v>119</v>
      </c>
      <c r="F12" s="10"/>
      <c r="G12" s="34"/>
      <c r="H12" s="35"/>
      <c r="I12" s="10"/>
      <c r="J12" s="12"/>
      <c r="K12" s="10" t="s">
        <v>120</v>
      </c>
      <c r="L12" s="10"/>
      <c r="M12" s="10" t="s">
        <v>120</v>
      </c>
      <c r="N12" s="10" t="s">
        <v>120</v>
      </c>
    </row>
    <row r="13" spans="1:14" ht="15" thickBot="1" x14ac:dyDescent="0.35">
      <c r="A13" s="11">
        <v>13</v>
      </c>
      <c r="B13" s="12" t="s">
        <v>63</v>
      </c>
      <c r="C13" s="12" t="s">
        <v>70</v>
      </c>
      <c r="D13" s="14">
        <v>42376</v>
      </c>
      <c r="E13" s="14">
        <v>42379</v>
      </c>
      <c r="F13" s="10">
        <v>3</v>
      </c>
      <c r="G13" s="36">
        <v>569</v>
      </c>
      <c r="H13" s="37"/>
      <c r="I13" s="10" t="s">
        <v>16</v>
      </c>
      <c r="J13" s="12" t="s">
        <v>123</v>
      </c>
      <c r="K13" s="16">
        <v>112</v>
      </c>
      <c r="L13" s="10">
        <v>0.35</v>
      </c>
      <c r="M13" s="16">
        <v>250</v>
      </c>
      <c r="N13" s="16">
        <v>285.14999999999998</v>
      </c>
    </row>
    <row r="14" spans="1:14" ht="15" thickBot="1" x14ac:dyDescent="0.35">
      <c r="A14" s="11">
        <v>14</v>
      </c>
      <c r="B14" s="12"/>
      <c r="C14" s="10"/>
      <c r="D14" s="10"/>
      <c r="E14" s="10"/>
      <c r="F14" s="10"/>
      <c r="G14" s="34"/>
      <c r="H14" s="35"/>
      <c r="I14" s="10"/>
      <c r="J14" s="12"/>
      <c r="K14" s="10" t="s">
        <v>120</v>
      </c>
      <c r="L14" s="10"/>
      <c r="M14" s="10" t="s">
        <v>120</v>
      </c>
      <c r="N14" s="10" t="s">
        <v>120</v>
      </c>
    </row>
    <row r="15" spans="1:14" ht="15" thickBot="1" x14ac:dyDescent="0.35">
      <c r="A15" s="11">
        <v>15</v>
      </c>
      <c r="B15" s="12"/>
      <c r="C15" s="10"/>
      <c r="D15" s="10"/>
      <c r="E15" s="10"/>
      <c r="F15" s="10"/>
      <c r="G15" s="34"/>
      <c r="H15" s="35"/>
      <c r="I15" s="10"/>
      <c r="J15" s="12"/>
      <c r="K15" s="10" t="s">
        <v>120</v>
      </c>
      <c r="L15" s="10"/>
      <c r="M15" s="10" t="s">
        <v>120</v>
      </c>
      <c r="N15" s="10" t="s">
        <v>120</v>
      </c>
    </row>
    <row r="16" spans="1:14" ht="15" thickBot="1" x14ac:dyDescent="0.35">
      <c r="A16" s="11">
        <v>16</v>
      </c>
      <c r="B16" s="39"/>
      <c r="C16" s="40"/>
      <c r="D16" s="19"/>
      <c r="E16" s="12" t="s">
        <v>124</v>
      </c>
      <c r="F16" s="10">
        <v>44</v>
      </c>
      <c r="G16" s="41" t="s">
        <v>125</v>
      </c>
      <c r="H16" s="42"/>
      <c r="I16" s="18"/>
      <c r="J16" s="18"/>
      <c r="K16" s="18"/>
      <c r="L16" s="10"/>
      <c r="M16" s="10" t="s">
        <v>104</v>
      </c>
      <c r="N16" s="16">
        <v>2296.63</v>
      </c>
    </row>
    <row r="17" spans="1:14" ht="15" thickBot="1" x14ac:dyDescent="0.35">
      <c r="A17" s="11">
        <v>17</v>
      </c>
      <c r="B17" s="18"/>
      <c r="C17" s="18"/>
      <c r="D17" s="18"/>
      <c r="E17" s="18"/>
      <c r="F17" s="40"/>
      <c r="G17" s="40"/>
      <c r="H17" s="18"/>
      <c r="I17" s="18"/>
      <c r="J17" s="18"/>
      <c r="K17" s="34" t="s">
        <v>105</v>
      </c>
      <c r="L17" s="43"/>
      <c r="M17" s="35"/>
      <c r="N17" s="20">
        <v>7</v>
      </c>
    </row>
    <row r="18" spans="1:14" ht="15" thickBot="1" x14ac:dyDescent="0.35">
      <c r="A18" s="11">
        <v>18</v>
      </c>
      <c r="B18" s="45" t="s">
        <v>126</v>
      </c>
      <c r="C18" s="44"/>
      <c r="D18" s="18"/>
      <c r="E18" s="18"/>
      <c r="F18" s="38"/>
      <c r="G18" s="38"/>
      <c r="H18" s="18"/>
      <c r="I18" s="18"/>
      <c r="J18" s="18"/>
      <c r="K18" s="34" t="s">
        <v>127</v>
      </c>
      <c r="L18" s="43"/>
      <c r="M18" s="35"/>
      <c r="N18" s="21">
        <v>3</v>
      </c>
    </row>
    <row r="23" spans="1:14" x14ac:dyDescent="0.3">
      <c r="B23" s="46" t="s">
        <v>128</v>
      </c>
    </row>
    <row r="24" spans="1:14" x14ac:dyDescent="0.3">
      <c r="B24" t="s">
        <v>129</v>
      </c>
    </row>
  </sheetData>
  <mergeCells count="25">
    <mergeCell ref="B16:C16"/>
    <mergeCell ref="G16:H16"/>
    <mergeCell ref="F17:G17"/>
    <mergeCell ref="K17:M17"/>
    <mergeCell ref="B18:C18"/>
    <mergeCell ref="F18:G18"/>
    <mergeCell ref="K18:M18"/>
    <mergeCell ref="G10:H10"/>
    <mergeCell ref="G11:H11"/>
    <mergeCell ref="G12:H12"/>
    <mergeCell ref="G13:H13"/>
    <mergeCell ref="G14:H14"/>
    <mergeCell ref="G15:H15"/>
    <mergeCell ref="G4:H4"/>
    <mergeCell ref="G5:H5"/>
    <mergeCell ref="G6:H6"/>
    <mergeCell ref="G7:H7"/>
    <mergeCell ref="G8:H8"/>
    <mergeCell ref="G9:H9"/>
    <mergeCell ref="G1:H1"/>
    <mergeCell ref="A2:A3"/>
    <mergeCell ref="G2:H2"/>
    <mergeCell ref="G3:H3"/>
    <mergeCell ref="M2:M3"/>
    <mergeCell ref="N2:N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5</vt:i4>
      </vt:variant>
    </vt:vector>
  </HeadingPairs>
  <TitlesOfParts>
    <vt:vector size="7" baseType="lpstr">
      <vt:lpstr>Données</vt:lpstr>
      <vt:lpstr>Questions</vt:lpstr>
      <vt:lpstr>Tcleints</vt:lpstr>
      <vt:lpstr>Tclients</vt:lpstr>
      <vt:lpstr>Tcontrats</vt:lpstr>
      <vt:lpstr>Ttarifs</vt:lpstr>
      <vt:lpstr>Tvalidations</vt:lpstr>
    </vt:vector>
  </TitlesOfParts>
  <Company>Université de Bordeaux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Ines Ferchaut</dc:creator>
  <cp:lastModifiedBy>Fra Par</cp:lastModifiedBy>
  <dcterms:created xsi:type="dcterms:W3CDTF">2023-01-31T09:13:47Z</dcterms:created>
  <dcterms:modified xsi:type="dcterms:W3CDTF">2023-02-06T13:31:50Z</dcterms:modified>
</cp:coreProperties>
</file>