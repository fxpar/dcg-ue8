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16" codeName="{37A63EE7-654F-3FA9-A528-636911D70600}"/>
  <workbookPr codeName="ThisWorkbook" defaultThemeVersion="166925"/>
  <mc:AlternateContent xmlns:mc="http://schemas.openxmlformats.org/markup-compatibility/2006">
    <mc:Choice Requires="x15">
      <x15ac:absPath xmlns:x15ac="http://schemas.microsoft.com/office/spreadsheetml/2010/11/ac" url="C:\Users\fxp33\PortableApps\UwAmp\www\dcg-ue8\annales\2020\"/>
    </mc:Choice>
  </mc:AlternateContent>
  <xr:revisionPtr revIDLastSave="0" documentId="13_ncr:1_{FC64145A-AD61-43FF-87B5-FF138C2AB3CF}" xr6:coauthVersionLast="47" xr6:coauthVersionMax="47" xr10:uidLastSave="{00000000-0000-0000-0000-000000000000}"/>
  <bookViews>
    <workbookView xWindow="-22056" yWindow="-3756" windowWidth="17724" windowHeight="15516" xr2:uid="{80480FF6-DDAD-481F-B01A-DCF48021B29D}"/>
  </bookViews>
  <sheets>
    <sheet name="Consignes" sheetId="10" r:id="rId1"/>
    <sheet name="Document5" sheetId="3" r:id="rId2"/>
    <sheet name="calculRedevances" sheetId="1" r:id="rId3"/>
    <sheet name="ListeNavires" sheetId="2" r:id="rId4"/>
    <sheet name="réduction" sheetId="4" r:id="rId5"/>
    <sheet name="redevanceMarchandises" sheetId="5" r:id="rId6"/>
    <sheet name="redevanceNavire" sheetId="6" r:id="rId7"/>
    <sheet name="recap" sheetId="7" r:id="rId8"/>
    <sheet name="Macros" sheetId="9" r:id="rId9"/>
  </sheets>
  <definedNames>
    <definedName name="Marchandises">redevanceMarchandises!$A$5:$F$114</definedName>
    <definedName name="Navires">ListeNavires!$A$4:$H$23</definedName>
    <definedName name="TypeNavire">redevanceNavire!$A$5:$D$11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42" i="1" l="1"/>
  <c r="E42" i="1"/>
  <c r="D37" i="1"/>
  <c r="D31" i="1"/>
  <c r="D3" i="1"/>
</calcChain>
</file>

<file path=xl/sharedStrings.xml><?xml version="1.0" encoding="utf-8"?>
<sst xmlns="http://schemas.openxmlformats.org/spreadsheetml/2006/main" count="288" uniqueCount="221">
  <si>
    <t>Richard Defrein</t>
  </si>
  <si>
    <t>Agent consignataire</t>
  </si>
  <si>
    <t>3 rue de la plage</t>
  </si>
  <si>
    <t>33000 Bordeaux</t>
  </si>
  <si>
    <t>OMI</t>
  </si>
  <si>
    <t>Nom Navire:</t>
  </si>
  <si>
    <t>BRASIL</t>
  </si>
  <si>
    <t>Longeur (L):</t>
  </si>
  <si>
    <t>Largeur (B):</t>
  </si>
  <si>
    <t>Tirant d'eau (T):</t>
  </si>
  <si>
    <t>Pavillon</t>
  </si>
  <si>
    <t>Liberia</t>
  </si>
  <si>
    <t>Code type navire:</t>
  </si>
  <si>
    <t>Autodéchargeant</t>
  </si>
  <si>
    <t>O</t>
  </si>
  <si>
    <t>No Escale</t>
  </si>
  <si>
    <t>Calcul de redevances dues à l'éscale</t>
  </si>
  <si>
    <t>Redevance sur les opérations de déchargement (D) / chargement (C) de marchandises</t>
  </si>
  <si>
    <t>Code catégorie</t>
  </si>
  <si>
    <t>D ou C</t>
  </si>
  <si>
    <t>Quantités (tonnes)</t>
  </si>
  <si>
    <t>Taux</t>
  </si>
  <si>
    <t>Montant</t>
  </si>
  <si>
    <t>03.3.2</t>
  </si>
  <si>
    <t>03.3.3</t>
  </si>
  <si>
    <t>03.5.4</t>
  </si>
  <si>
    <t>03.5.3</t>
  </si>
  <si>
    <t>03.5.1</t>
  </si>
  <si>
    <t>03.5.5</t>
  </si>
  <si>
    <t>Pyrite de fer non grillées</t>
  </si>
  <si>
    <t>Autres argiles</t>
  </si>
  <si>
    <t>Kaolin</t>
  </si>
  <si>
    <t>Pierres, sables, graviers, autres produits d'extraction</t>
  </si>
  <si>
    <t>Tourbe</t>
  </si>
  <si>
    <t>D</t>
  </si>
  <si>
    <t>C</t>
  </si>
  <si>
    <t>Total Quantités</t>
  </si>
  <si>
    <t>Déchargement (D)</t>
  </si>
  <si>
    <t>Chargement (C)</t>
  </si>
  <si>
    <t>Redevance sur l'entrée et la sortie du navire</t>
  </si>
  <si>
    <t>Tirant d'eau minimum à retenir</t>
  </si>
  <si>
    <t>Volume (V)</t>
  </si>
  <si>
    <t>Chargement</t>
  </si>
  <si>
    <t>Déchargement</t>
  </si>
  <si>
    <t>Redevance 
avant réduction</t>
  </si>
  <si>
    <t>Article 3</t>
  </si>
  <si>
    <t>Réduction €</t>
  </si>
  <si>
    <t>Réduction (€)</t>
  </si>
  <si>
    <t>Article 4</t>
  </si>
  <si>
    <t>Ratio
D/V ou C/V</t>
  </si>
  <si>
    <t>Réduction</t>
  </si>
  <si>
    <t>Article 5</t>
  </si>
  <si>
    <t>Redevance 
nette(€)</t>
  </si>
  <si>
    <t>Nom Navire</t>
  </si>
  <si>
    <t>Longueur (L)</t>
  </si>
  <si>
    <t>Largeur (B)</t>
  </si>
  <si>
    <t>Tirant d'eau (T)</t>
  </si>
  <si>
    <t>Type navire</t>
  </si>
  <si>
    <t>Autodéchargeant (O/N)</t>
  </si>
  <si>
    <t>BISTRAI</t>
  </si>
  <si>
    <t>CALIFE</t>
  </si>
  <si>
    <t>FLORINA</t>
  </si>
  <si>
    <t>PEPORINO</t>
  </si>
  <si>
    <t>CHÂTEAU COP</t>
  </si>
  <si>
    <t>LAMANTIN</t>
  </si>
  <si>
    <t>LIORON</t>
  </si>
  <si>
    <t>ST EXUPERY</t>
  </si>
  <si>
    <t>AS SELINA</t>
  </si>
  <si>
    <t>France</t>
  </si>
  <si>
    <t>Singapour</t>
  </si>
  <si>
    <t>Bermudes</t>
  </si>
  <si>
    <t>Italie</t>
  </si>
  <si>
    <t>Antigua</t>
  </si>
  <si>
    <t>N</t>
  </si>
  <si>
    <t>L</t>
  </si>
  <si>
    <r>
      <t>Tarifs applicables à la date du 1</t>
    </r>
    <r>
      <rPr>
        <b/>
        <vertAlign val="superscript"/>
        <sz val="11"/>
        <color theme="1"/>
        <rFont val="Arial"/>
        <family val="2"/>
      </rPr>
      <t>er</t>
    </r>
    <r>
      <rPr>
        <b/>
        <sz val="11"/>
        <color theme="1"/>
        <rFont val="Arial"/>
        <family val="2"/>
      </rPr>
      <t xml:space="preserve"> janvier 2020</t>
    </r>
  </si>
  <si>
    <t>Redevances instituées par application du code des transports au profit de GPMM</t>
  </si>
  <si>
    <r>
      <t xml:space="preserve">Section I – Redevances dues par le navire </t>
    </r>
    <r>
      <rPr>
        <b/>
        <sz val="11"/>
        <color rgb="FF000000"/>
        <rFont val="Arial"/>
        <family val="2"/>
      </rPr>
      <t>à l'entrée et à la sortie du port</t>
    </r>
  </si>
  <si>
    <t>Article 1 – Base de la redevance.</t>
  </si>
  <si>
    <r>
      <t xml:space="preserve">Il est perçu, sur tout navire déchargeant ou chargeant des marchandises une redevance déterminée en fonction du </t>
    </r>
    <r>
      <rPr>
        <b/>
        <sz val="11"/>
        <color theme="1"/>
        <rFont val="Arial"/>
        <family val="2"/>
      </rPr>
      <t xml:space="preserve">volume V </t>
    </r>
    <r>
      <rPr>
        <sz val="11"/>
        <color theme="1"/>
        <rFont val="Arial"/>
        <family val="2"/>
      </rPr>
      <t>du navire,</t>
    </r>
    <r>
      <rPr>
        <b/>
        <sz val="11"/>
        <color theme="1"/>
        <rFont val="Arial"/>
        <family val="2"/>
      </rPr>
      <t xml:space="preserve"> </t>
    </r>
    <r>
      <rPr>
        <sz val="11"/>
        <color theme="1"/>
        <rFont val="Arial"/>
        <family val="2"/>
      </rPr>
      <t>exprimé en m</t>
    </r>
    <r>
      <rPr>
        <vertAlign val="superscript"/>
        <sz val="11"/>
        <color theme="1"/>
        <rFont val="Arial"/>
        <family val="2"/>
      </rPr>
      <t>3</t>
    </r>
    <r>
      <rPr>
        <sz val="11"/>
        <color theme="1"/>
        <rFont val="Arial"/>
        <family val="2"/>
      </rPr>
      <t xml:space="preserve"> (mètre cube), et déterminé à partir de la formule suivante : </t>
    </r>
    <r>
      <rPr>
        <b/>
        <sz val="11"/>
        <color theme="1"/>
        <rFont val="Arial"/>
        <family val="2"/>
      </rPr>
      <t>V = L x B x T</t>
    </r>
    <r>
      <rPr>
        <sz val="11"/>
        <color theme="1"/>
        <rFont val="Arial"/>
        <family val="2"/>
      </rPr>
      <t xml:space="preserve"> </t>
    </r>
  </si>
  <si>
    <t xml:space="preserve"> </t>
  </si>
  <si>
    <t>La valeur du tirant d’eau prise en compte pour l’application de la formule sera la plus grande valeur entre le tirant d’eau du navire et le tirant d’eau minimum à retenir.</t>
  </si>
  <si>
    <t>Article 2 – Taux de la redevance d’entrée et de sortie du navire.</t>
  </si>
  <si>
    <r>
      <t>Le taux de redevance exprimé en euro par m</t>
    </r>
    <r>
      <rPr>
        <vertAlign val="superscript"/>
        <sz val="11"/>
        <color theme="1"/>
        <rFont val="Arial"/>
        <family val="2"/>
      </rPr>
      <t>3</t>
    </r>
    <r>
      <rPr>
        <sz val="11"/>
        <color theme="1"/>
        <rFont val="Arial"/>
        <family val="2"/>
      </rPr>
      <t xml:space="preserve"> s’applique au volume déterminé à l’article 1 dépend du type de navire.</t>
    </r>
  </si>
  <si>
    <t>Article 3 – Réduction en fonction du type de navire.</t>
  </si>
  <si>
    <t>Les navires autodéchargeants (c’est-à-dire muni de moyens de déchargement) :</t>
  </si>
  <si>
    <r>
      <t>·</t>
    </r>
    <r>
      <rPr>
        <sz val="7"/>
        <color theme="1"/>
        <rFont val="Times New Roman"/>
        <family val="1"/>
      </rPr>
      <t xml:space="preserve">        </t>
    </r>
    <r>
      <rPr>
        <sz val="11"/>
        <color theme="1"/>
        <rFont val="Arial"/>
        <family val="2"/>
      </rPr>
      <t>dont le code du type est 6 bénéficient d'une réduction de redevance de 17 % ;</t>
    </r>
  </si>
  <si>
    <r>
      <t>·</t>
    </r>
    <r>
      <rPr>
        <sz val="7"/>
        <color theme="1"/>
        <rFont val="Times New Roman"/>
        <family val="1"/>
      </rPr>
      <t xml:space="preserve">        </t>
    </r>
    <r>
      <rPr>
        <sz val="11"/>
        <color theme="1"/>
        <rFont val="Arial"/>
        <family val="2"/>
      </rPr>
      <t>dont le code du type est 9 bénéficient d'une réduction de 20 % de la redevance sur le navire.</t>
    </r>
  </si>
  <si>
    <t>Article 4 – Réduction pour marchandises.</t>
  </si>
  <si>
    <t>Les réductions sur les redevances applicables aux navires transportant des marchandises sont déterminées en fonction du ratio existant entre le tonnage de marchandises chargé (C) ou déchargé (D) et le volume V (défini à l’article 1) :</t>
  </si>
  <si>
    <r>
      <t>·</t>
    </r>
    <r>
      <rPr>
        <sz val="7"/>
        <color theme="1"/>
        <rFont val="Times New Roman"/>
        <family val="1"/>
      </rPr>
      <t xml:space="preserve">        </t>
    </r>
    <r>
      <rPr>
        <sz val="11"/>
        <color theme="1"/>
        <rFont val="Arial"/>
        <family val="2"/>
      </rPr>
      <t>D/V dans le cas d’un déchargement ;</t>
    </r>
  </si>
  <si>
    <r>
      <t>·</t>
    </r>
    <r>
      <rPr>
        <sz val="7"/>
        <color theme="1"/>
        <rFont val="Times New Roman"/>
        <family val="1"/>
      </rPr>
      <t xml:space="preserve">        </t>
    </r>
    <r>
      <rPr>
        <sz val="11"/>
        <color theme="1"/>
        <rFont val="Arial"/>
        <family val="2"/>
      </rPr>
      <t>C/V dans le cas d’un chargement.</t>
    </r>
  </si>
  <si>
    <t>Article 5 – Cumul de réduction.</t>
  </si>
  <si>
    <t>Les réductions de l’article 3 ne se cumulent pas avec celles de l’article 4, seule la plus avantageuse est appliquée.</t>
  </si>
  <si>
    <t>Section II – Redevances sur les marchandises</t>
  </si>
  <si>
    <t>Article 6 – Application de la redevance sur les marchandises.</t>
  </si>
  <si>
    <t>Il est perçu sur les marchandises déchargées ou chargées dans le port, une redevance qui dépend du type de marchandises.</t>
  </si>
  <si>
    <t xml:space="preserve">    L est la longueur du navire.</t>
  </si>
  <si>
    <t xml:space="preserve">    B est la largeur du navire.</t>
  </si>
  <si>
    <t xml:space="preserve">    T est son tirant d’eau.</t>
  </si>
  <si>
    <t xml:space="preserve">    L, B et T sont exprimés en mètres.</t>
  </si>
  <si>
    <t xml:space="preserve">    V est arrondi au mètre cube le plus proche.</t>
  </si>
  <si>
    <t>Tableau des réductions en fonction du ratio (Article 4)</t>
  </si>
  <si>
    <t>Min</t>
  </si>
  <si>
    <t>Max (exclus)</t>
  </si>
  <si>
    <t>Réduction de</t>
  </si>
  <si>
    <t>Redevance au poids brut en € par tonne</t>
  </si>
  <si>
    <t>Division</t>
  </si>
  <si>
    <t>Numéro</t>
  </si>
  <si>
    <t>Nom</t>
  </si>
  <si>
    <t>Désignation</t>
  </si>
  <si>
    <t>Marchandises</t>
  </si>
  <si>
    <t>Redevance (€/tonne)</t>
  </si>
  <si>
    <t>Produits de l'agriculture</t>
  </si>
  <si>
    <t>01.1</t>
  </si>
  <si>
    <t>…</t>
  </si>
  <si>
    <t>Minerais métalliques et autres produits d'extraction, tourbe, minerai d'uranium…</t>
  </si>
  <si>
    <t>Courrier</t>
  </si>
  <si>
    <t>Courrier, colis</t>
  </si>
  <si>
    <t>Céréales</t>
  </si>
  <si>
    <t>03.1</t>
  </si>
  <si>
    <t>03.2</t>
  </si>
  <si>
    <t>03.3.1</t>
  </si>
  <si>
    <t>Minerais de fer</t>
  </si>
  <si>
    <t>Minerais de métaux non ferreux</t>
  </si>
  <si>
    <t>Minéraux (bruts) pour l'industrie chimique et engrais naturels</t>
  </si>
  <si>
    <t>03.4</t>
  </si>
  <si>
    <t>Sel</t>
  </si>
  <si>
    <t>03.5.2</t>
  </si>
  <si>
    <t>03.6</t>
  </si>
  <si>
    <t>Sables naturels</t>
  </si>
  <si>
    <t>Minerais d'uranium et thorium</t>
  </si>
  <si>
    <t>B</t>
  </si>
  <si>
    <t>Redevance due à l'entrée et à la sortie du port</t>
  </si>
  <si>
    <t>Nom type navire</t>
  </si>
  <si>
    <t>Entrée</t>
  </si>
  <si>
    <t>Sortie</t>
  </si>
  <si>
    <t>pétrolier</t>
  </si>
  <si>
    <t>Méthanier- Gaz liquide</t>
  </si>
  <si>
    <t>Céréaliers</t>
  </si>
  <si>
    <t>Minéraliers</t>
  </si>
  <si>
    <t>Navire réfrigéré</t>
  </si>
  <si>
    <t>Navire porte conteneur</t>
  </si>
  <si>
    <t>Cargo classique</t>
  </si>
  <si>
    <t>Volume</t>
  </si>
  <si>
    <t>CAMILO</t>
  </si>
  <si>
    <t>VIDALIS</t>
  </si>
  <si>
    <t>BARIOLO</t>
  </si>
  <si>
    <t>Iles Marshall</t>
  </si>
  <si>
    <t>Redevance</t>
  </si>
  <si>
    <t>Net</t>
  </si>
  <si>
    <t>Brut</t>
  </si>
  <si>
    <t>NoEscale</t>
  </si>
  <si>
    <t>T</t>
  </si>
  <si>
    <t>Autodéch.</t>
  </si>
  <si>
    <t>Tirant d'eau</t>
  </si>
  <si>
    <t>Réduction %</t>
  </si>
  <si>
    <t>Informations sur les escales</t>
  </si>
  <si>
    <t>Macros</t>
  </si>
  <si>
    <t>Macro RemiseAZero</t>
  </si>
  <si>
    <t>Sub RemiseAZero()</t>
  </si>
  <si>
    <t>' Remise à zéro</t>
  </si>
  <si>
    <t xml:space="preserve">    Range("D2").Select</t>
  </si>
  <si>
    <t xml:space="preserve">    Selection.ClearContents</t>
  </si>
  <si>
    <t>… [à continuer]</t>
  </si>
  <si>
    <t>End Sub</t>
  </si>
  <si>
    <t>Macro HistoRecap()</t>
  </si>
  <si>
    <t>Sub HistoRecap()</t>
  </si>
  <si>
    <t>'etape 1</t>
  </si>
  <si>
    <t>Dim Escale As Double</t>
  </si>
  <si>
    <t>Dim EscaleRecap As Double</t>
  </si>
  <si>
    <t>Dim erreur As Integer</t>
  </si>
  <si>
    <t>'etape 2</t>
  </si>
  <si>
    <t>erreur = 0</t>
  </si>
  <si>
    <t>'etape 3</t>
  </si>
  <si>
    <t xml:space="preserve"> Sheets("calculRedevances").Select</t>
  </si>
  <si>
    <t xml:space="preserve"> Range("F2").Select</t>
  </si>
  <si>
    <t xml:space="preserve"> Escale = ActiveCell.Value</t>
  </si>
  <si>
    <t xml:space="preserve">    </t>
  </si>
  <si>
    <t xml:space="preserve"> Sheets("recap").Select</t>
  </si>
  <si>
    <t xml:space="preserve"> Range("A4").Select</t>
  </si>
  <si>
    <t>'etape 4</t>
  </si>
  <si>
    <t>Do Until IsEmpty(ActiveCell)</t>
  </si>
  <si>
    <t>'etape 5</t>
  </si>
  <si>
    <t>EscaleRecap = ActiveCell.Value</t>
  </si>
  <si>
    <t>If (Escale = EscaleRecap) Then</t>
  </si>
  <si>
    <t xml:space="preserve">            erreur = erreur + 1</t>
  </si>
  <si>
    <t>End If</t>
  </si>
  <si>
    <t xml:space="preserve"> 'etape 6</t>
  </si>
  <si>
    <t xml:space="preserve"> ' deplacement une cellule en dessous de la cellule active</t>
  </si>
  <si>
    <t xml:space="preserve">  ActiveCell.Offset(1, 0).Activate</t>
  </si>
  <si>
    <t xml:space="preserve"> Loop</t>
  </si>
  <si>
    <t>'etape 7</t>
  </si>
  <si>
    <t>' insertion de la ligne dans la feuille recap si erreur=0</t>
  </si>
  <si>
    <t>If erreur = 0 Then</t>
  </si>
  <si>
    <t xml:space="preserve">    '.....</t>
  </si>
  <si>
    <t>DOSSIER 3 – Gestion des redevances dues lors d’une escale</t>
  </si>
  <si>
    <t>Base documentaire : documents 5, 6, 7 et 8</t>
  </si>
  <si>
    <t>Lors de l’escale d’un navire, GPMM perçoit des redevances en fonction des opérations réalisées sur le port. L’agent consignataire Richard DEFREIN a créé sur tableur un modèle de calcul de ces redevances qu’il vous demande d’achever et d’automatiser.</t>
  </si>
  <si>
    <t>Mission n° 1 : finalisation du modèle de calcul.</t>
  </si>
  <si>
    <t>Pour réaliser cette mission :</t>
  </si>
  <si>
    <t>M. Richard DEFREIN a voulu automatiser la réinitialisation du contenu de la feuille de calcul nommée « calculRedevances ». Il a donc commencé à créer une macro nommée « remiseAZero » qui sera déclenchée à l’aide du bouton « Remise à zéro » figurant sur cette feuille de calcul.</t>
  </si>
  <si>
    <t>M. Richard DEFREIN a protégé la feuille « calculRedevances ».</t>
  </si>
  <si>
    <t>Mission n° 2 : automatisation du modèle de calcul.</t>
  </si>
  <si>
    <t>Mission n° 3 : historisation des escales.</t>
  </si>
  <si>
    <t>L’objectif de la macro « HistoRecap » est de copier le contenu de la feuille « calculRedevance » dans la feuille « recap ». Les premières lignes de cette macro effectuent un contrôle préalable à l’insertion des données.</t>
  </si>
  <si>
    <r>
      <t xml:space="preserve">Cette application établit par anticipation le calcul des diverses redevances qui seront réclamées lors de l’escale d’un navire. Ce modèle de calcul est alimenté grâce à des exportations de fichiers provenant de l’application ODYSSÉE. Les conditions de détermination des redevances sont précisées dans le </t>
    </r>
    <r>
      <rPr>
        <b/>
        <i/>
        <sz val="11"/>
        <color rgb="FF000000"/>
        <rFont val="Arial"/>
        <family val="2"/>
      </rPr>
      <t>document 5</t>
    </r>
    <r>
      <rPr>
        <sz val="11"/>
        <color rgb="FF000000"/>
        <rFont val="Arial"/>
        <family val="2"/>
      </rPr>
      <t xml:space="preserve">, l’application développée sur tableur est présentée dans le </t>
    </r>
    <r>
      <rPr>
        <b/>
        <i/>
        <sz val="11"/>
        <color rgb="FF000000"/>
        <rFont val="Arial"/>
        <family val="2"/>
      </rPr>
      <t>document 6</t>
    </r>
    <r>
      <rPr>
        <sz val="11"/>
        <color rgb="FF000000"/>
        <rFont val="Arial"/>
        <family val="2"/>
      </rPr>
      <t>.</t>
    </r>
  </si>
  <si>
    <r>
      <t>2.</t>
    </r>
    <r>
      <rPr>
        <b/>
        <sz val="7"/>
        <color theme="1"/>
        <rFont val="Times New Roman"/>
        <family val="1"/>
      </rPr>
      <t xml:space="preserve">     </t>
    </r>
    <r>
      <rPr>
        <b/>
        <sz val="11"/>
        <color theme="1"/>
        <rFont val="Arial"/>
        <family val="2"/>
      </rPr>
      <t>Compléter sur votre copie, la macro intitulée RemiseAZero commencée par Richard DEFREIN afin qu’elle atteigne son objectif.</t>
    </r>
  </si>
  <si>
    <r>
      <t>3.</t>
    </r>
    <r>
      <rPr>
        <b/>
        <sz val="7"/>
        <color theme="1"/>
        <rFont val="Times New Roman"/>
        <family val="1"/>
      </rPr>
      <t xml:space="preserve">     </t>
    </r>
    <r>
      <rPr>
        <b/>
        <sz val="11"/>
        <color theme="1"/>
        <rFont val="Arial"/>
        <family val="2"/>
      </rPr>
      <t>Dire à quelle condition la macro remiseAZero pourra fonctionner correctement sachant que la feuille de calcul est protégée.</t>
    </r>
  </si>
  <si>
    <r>
      <t>Le classeur comporte également une feuille « recap » (</t>
    </r>
    <r>
      <rPr>
        <b/>
        <i/>
        <sz val="11"/>
        <color theme="1"/>
        <rFont val="Arial"/>
        <family val="2"/>
      </rPr>
      <t>document 7</t>
    </r>
    <r>
      <rPr>
        <sz val="11"/>
        <color theme="1"/>
        <rFont val="Arial"/>
        <family val="2"/>
      </rPr>
      <t xml:space="preserve">) alimentée grâce la macro « HistoRecap » présentée dans le </t>
    </r>
    <r>
      <rPr>
        <b/>
        <i/>
        <sz val="11"/>
        <color theme="1"/>
        <rFont val="Arial"/>
        <family val="2"/>
      </rPr>
      <t xml:space="preserve">document 8 </t>
    </r>
    <r>
      <rPr>
        <sz val="11"/>
        <color theme="1"/>
        <rFont val="Arial"/>
        <family val="2"/>
      </rPr>
      <t>et déclenchée à l’aide du bouton « Historisation » de la feuille « calculRedevances ».</t>
    </r>
  </si>
  <si>
    <r>
      <t>4.</t>
    </r>
    <r>
      <rPr>
        <b/>
        <sz val="7"/>
        <color theme="1"/>
        <rFont val="Times New Roman"/>
        <family val="1"/>
      </rPr>
      <t xml:space="preserve">     </t>
    </r>
    <r>
      <rPr>
        <b/>
        <sz val="11"/>
        <color theme="1"/>
        <rFont val="Arial"/>
        <family val="2"/>
      </rPr>
      <t>Expliquer le rôle des étapes n° 1 à 5 figurant dans le programme de la macro « HistoRecap</t>
    </r>
    <r>
      <rPr>
        <sz val="11"/>
        <color theme="1"/>
        <rFont val="Arial"/>
        <family val="2"/>
      </rPr>
      <t> </t>
    </r>
    <r>
      <rPr>
        <b/>
        <sz val="11"/>
        <color theme="1"/>
        <rFont val="Arial"/>
        <family val="2"/>
      </rPr>
      <t xml:space="preserve">» du </t>
    </r>
    <r>
      <rPr>
        <b/>
        <i/>
        <sz val="11"/>
        <color theme="1"/>
        <rFont val="Arial"/>
        <family val="2"/>
      </rPr>
      <t>document 8</t>
    </r>
    <r>
      <rPr>
        <b/>
        <sz val="11"/>
        <color theme="1"/>
        <rFont val="Arial"/>
        <family val="2"/>
      </rPr>
      <t>, puis donner la signification globale de ce programme.</t>
    </r>
  </si>
  <si>
    <t>D3</t>
  </si>
  <si>
    <t>D31</t>
  </si>
  <si>
    <t>D37</t>
  </si>
  <si>
    <t>E42</t>
  </si>
  <si>
    <t>G42</t>
  </si>
  <si>
    <t>E13</t>
  </si>
  <si>
    <r>
      <t>1.</t>
    </r>
    <r>
      <rPr>
        <b/>
        <sz val="7"/>
        <color theme="1"/>
        <rFont val="Times New Roman"/>
        <family val="1"/>
      </rPr>
      <t xml:space="preserve">     </t>
    </r>
    <r>
      <rPr>
        <b/>
        <sz val="11"/>
        <color theme="1"/>
        <rFont val="Arial"/>
        <family val="2"/>
      </rPr>
      <t xml:space="preserve">Écrire les formules des cellules suivantes de la feuille « calculRedevances » </t>
    </r>
  </si>
  <si>
    <t>Code type navire</t>
  </si>
  <si>
    <r>
      <t>Taux de redevance euro par m</t>
    </r>
    <r>
      <rPr>
        <vertAlign val="superscript"/>
        <sz val="16"/>
        <color theme="1"/>
        <rFont val="Calibri"/>
        <family val="2"/>
        <scheme val="minor"/>
      </rPr>
      <t>3</t>
    </r>
  </si>
  <si>
    <t>Les macros sont déjà  dans le moduleVBA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</si>
</sst>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_-* #,##0\ &quot;€&quot;_-;\-* #,##0\ &quot;€&quot;_-;_-* &quot;-&quot;??\ &quot;€&quot;_-;_-@_-"/>
    <numFmt numFmtId="165" formatCode="_-* #,##0_-;\-* #,##0_-;_-* &quot;-&quot;??_-;_-@_-"/>
    <numFmt numFmtId="166" formatCode="0.0000"/>
  </numFmts>
  <fonts count="23" x14ac:knownFonts="1">
    <font>
      <sz val="16"/>
      <color theme="1"/>
      <name val="Calibri"/>
      <family val="2"/>
      <scheme val="minor"/>
    </font>
    <font>
      <sz val="16"/>
      <color theme="1"/>
      <name val="Calibri"/>
      <family val="2"/>
      <scheme val="minor"/>
    </font>
    <font>
      <b/>
      <sz val="16"/>
      <color theme="1"/>
      <name val="Calibri"/>
      <family val="2"/>
      <scheme val="minor"/>
    </font>
    <font>
      <sz val="8"/>
      <name val="Calibri"/>
      <family val="2"/>
      <scheme val="minor"/>
    </font>
    <font>
      <b/>
      <sz val="11"/>
      <color theme="1"/>
      <name val="Arial"/>
      <family val="2"/>
    </font>
    <font>
      <b/>
      <vertAlign val="superscript"/>
      <sz val="11"/>
      <color theme="1"/>
      <name val="Arial"/>
      <family val="2"/>
    </font>
    <font>
      <sz val="5"/>
      <color theme="1"/>
      <name val="Arial"/>
      <family val="2"/>
    </font>
    <font>
      <b/>
      <sz val="11"/>
      <color rgb="FF000000"/>
      <name val="Arial"/>
      <family val="2"/>
    </font>
    <font>
      <sz val="11"/>
      <color theme="1"/>
      <name val="Arial"/>
      <family val="2"/>
    </font>
    <font>
      <vertAlign val="superscript"/>
      <sz val="11"/>
      <color theme="1"/>
      <name val="Arial"/>
      <family val="2"/>
    </font>
    <font>
      <sz val="11"/>
      <color theme="1"/>
      <name val="Symbol"/>
      <family val="1"/>
      <charset val="2"/>
    </font>
    <font>
      <sz val="7"/>
      <color theme="1"/>
      <name val="Times New Roman"/>
      <family val="1"/>
    </font>
    <font>
      <sz val="16"/>
      <color theme="9" tint="-0.249977111117893"/>
      <name val="Calibri"/>
      <family val="2"/>
      <scheme val="minor"/>
    </font>
    <font>
      <b/>
      <sz val="14"/>
      <color rgb="FF000000"/>
      <name val="Arial"/>
      <family val="2"/>
    </font>
    <font>
      <sz val="14"/>
      <color rgb="FF000000"/>
      <name val="Arial"/>
      <family val="2"/>
    </font>
    <font>
      <sz val="11"/>
      <color rgb="FF000000"/>
      <name val="Arial"/>
      <family val="2"/>
    </font>
    <font>
      <sz val="5"/>
      <color rgb="FF000000"/>
      <name val="Arial"/>
      <family val="2"/>
    </font>
    <font>
      <b/>
      <i/>
      <sz val="11"/>
      <color rgb="FF000000"/>
      <name val="Arial"/>
      <family val="2"/>
    </font>
    <font>
      <b/>
      <sz val="7"/>
      <color theme="1"/>
      <name val="Times New Roman"/>
      <family val="1"/>
    </font>
    <font>
      <b/>
      <i/>
      <sz val="11"/>
      <color theme="1"/>
      <name val="Arial"/>
      <family val="2"/>
    </font>
    <font>
      <vertAlign val="superscript"/>
      <sz val="16"/>
      <color theme="1"/>
      <name val="Calibri"/>
      <family val="2"/>
      <scheme val="minor"/>
    </font>
    <font>
      <b/>
      <sz val="24"/>
      <color theme="1"/>
      <name val="Calibri"/>
      <family val="2"/>
      <scheme val="minor"/>
    </font>
    <font>
      <i/>
      <sz val="16"/>
      <color theme="1"/>
      <name val="Calibri"/>
      <family val="2"/>
      <scheme val="minor"/>
    </font>
  </fonts>
  <fills count="5">
    <fill>
      <patternFill patternType="none"/>
    </fill>
    <fill>
      <patternFill patternType="gray125"/>
    </fill>
    <fill>
      <patternFill patternType="solid">
        <fgColor theme="2"/>
        <bgColor indexed="64"/>
      </patternFill>
    </fill>
    <fill>
      <patternFill patternType="solid">
        <fgColor theme="2" tint="-9.9978637043366805E-2"/>
        <bgColor indexed="64"/>
      </patternFill>
    </fill>
    <fill>
      <patternFill patternType="solid">
        <fgColor theme="5"/>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2">
    <xf numFmtId="0" fontId="0" fillId="0" borderId="0"/>
    <xf numFmtId="43" fontId="1" fillId="0" borderId="0" applyFont="0" applyFill="0" applyBorder="0" applyAlignment="0" applyProtection="0"/>
  </cellStyleXfs>
  <cellXfs count="113">
    <xf numFmtId="0" fontId="0" fillId="0" borderId="0" xfId="0"/>
    <xf numFmtId="0" fontId="0" fillId="0" borderId="0" xfId="0" applyAlignment="1">
      <alignment horizontal="center"/>
    </xf>
    <xf numFmtId="0" fontId="0" fillId="0" borderId="0" xfId="0" applyAlignment="1">
      <alignment wrapText="1"/>
    </xf>
    <xf numFmtId="0" fontId="0" fillId="0" borderId="1" xfId="0" applyBorder="1"/>
    <xf numFmtId="0" fontId="0" fillId="0" borderId="1" xfId="0" applyBorder="1" applyAlignment="1">
      <alignment wrapText="1"/>
    </xf>
    <xf numFmtId="0" fontId="0" fillId="0" borderId="2" xfId="0" applyBorder="1"/>
    <xf numFmtId="0" fontId="0" fillId="0" borderId="5" xfId="0" applyBorder="1"/>
    <xf numFmtId="164" fontId="0" fillId="0" borderId="6" xfId="0" applyNumberFormat="1"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164" fontId="0" fillId="0" borderId="12" xfId="0" applyNumberFormat="1" applyBorder="1"/>
    <xf numFmtId="0" fontId="0" fillId="2" borderId="1" xfId="0" applyFill="1" applyBorder="1" applyAlignment="1">
      <alignment horizontal="center"/>
    </xf>
    <xf numFmtId="0" fontId="0" fillId="2" borderId="1" xfId="0" applyFill="1" applyBorder="1"/>
    <xf numFmtId="0" fontId="0" fillId="2" borderId="1" xfId="0" applyFill="1" applyBorder="1" applyAlignment="1">
      <alignment wrapText="1"/>
    </xf>
    <xf numFmtId="0" fontId="0" fillId="2" borderId="1" xfId="0" applyFill="1" applyBorder="1" applyAlignment="1">
      <alignment horizontal="center" wrapText="1"/>
    </xf>
    <xf numFmtId="0" fontId="0" fillId="0" borderId="11" xfId="0" applyBorder="1" applyAlignment="1">
      <alignment horizontal="center"/>
    </xf>
    <xf numFmtId="0" fontId="0" fillId="0" borderId="1" xfId="0" applyBorder="1" applyAlignment="1">
      <alignment horizontal="center"/>
    </xf>
    <xf numFmtId="0" fontId="0" fillId="0" borderId="0" xfId="0" applyAlignment="1">
      <alignment horizontal="right"/>
    </xf>
    <xf numFmtId="3" fontId="0" fillId="0" borderId="1" xfId="1" applyNumberFormat="1" applyFont="1" applyBorder="1"/>
    <xf numFmtId="10" fontId="0" fillId="0" borderId="1" xfId="0" applyNumberFormat="1" applyBorder="1"/>
    <xf numFmtId="0" fontId="0" fillId="2" borderId="2" xfId="0" applyFill="1" applyBorder="1"/>
    <xf numFmtId="0" fontId="0" fillId="2" borderId="3" xfId="0" applyFill="1" applyBorder="1"/>
    <xf numFmtId="0" fontId="0" fillId="2" borderId="4" xfId="0" applyFill="1" applyBorder="1" applyAlignment="1">
      <alignment wrapText="1"/>
    </xf>
    <xf numFmtId="0" fontId="4" fillId="0" borderId="0" xfId="0" applyFont="1" applyAlignment="1">
      <alignment horizontal="center" vertical="center"/>
    </xf>
    <xf numFmtId="0" fontId="6" fillId="0" borderId="0" xfId="0" applyFont="1" applyAlignment="1">
      <alignment vertical="center"/>
    </xf>
    <xf numFmtId="0" fontId="4" fillId="0" borderId="0" xfId="0" applyFont="1" applyAlignment="1">
      <alignment vertical="center"/>
    </xf>
    <xf numFmtId="0" fontId="8" fillId="0" borderId="0" xfId="0" applyFont="1" applyAlignment="1">
      <alignment horizontal="justify" vertical="center"/>
    </xf>
    <xf numFmtId="0" fontId="8" fillId="0" borderId="0" xfId="0" applyFont="1" applyAlignment="1">
      <alignment vertical="center"/>
    </xf>
    <xf numFmtId="0" fontId="4" fillId="0" borderId="0" xfId="0" applyFont="1" applyAlignment="1">
      <alignment horizontal="justify" vertical="center"/>
    </xf>
    <xf numFmtId="0" fontId="10" fillId="0" borderId="0" xfId="0" applyFont="1" applyAlignment="1">
      <alignment horizontal="justify" vertical="center"/>
    </xf>
    <xf numFmtId="0" fontId="6" fillId="0" borderId="0" xfId="0" applyFont="1" applyAlignment="1">
      <alignment horizontal="justify" vertical="center"/>
    </xf>
    <xf numFmtId="9" fontId="0" fillId="0" borderId="1" xfId="0" applyNumberFormat="1" applyBorder="1"/>
    <xf numFmtId="9" fontId="0" fillId="0" borderId="6" xfId="0" applyNumberFormat="1" applyBorder="1"/>
    <xf numFmtId="9" fontId="0" fillId="0" borderId="9" xfId="0" applyNumberFormat="1" applyBorder="1"/>
    <xf numFmtId="9" fontId="0" fillId="0" borderId="12" xfId="0" applyNumberFormat="1" applyBorder="1"/>
    <xf numFmtId="0" fontId="0" fillId="0" borderId="5" xfId="0" applyBorder="1" applyAlignment="1">
      <alignment vertical="center"/>
    </xf>
    <xf numFmtId="0" fontId="0" fillId="0" borderId="0" xfId="0" applyAlignment="1">
      <alignment horizontal="center" wrapText="1"/>
    </xf>
    <xf numFmtId="0" fontId="0" fillId="0" borderId="8" xfId="0" applyBorder="1" applyAlignment="1">
      <alignment wrapText="1"/>
    </xf>
    <xf numFmtId="0" fontId="0" fillId="0" borderId="12" xfId="0" applyBorder="1"/>
    <xf numFmtId="3" fontId="0" fillId="0" borderId="1" xfId="0" applyNumberFormat="1" applyBorder="1"/>
    <xf numFmtId="166" fontId="0" fillId="0" borderId="1" xfId="0" applyNumberFormat="1" applyBorder="1"/>
    <xf numFmtId="3" fontId="0" fillId="0" borderId="6" xfId="1" applyNumberFormat="1" applyFont="1" applyBorder="1"/>
    <xf numFmtId="3" fontId="0" fillId="0" borderId="8" xfId="0" applyNumberFormat="1" applyBorder="1"/>
    <xf numFmtId="9" fontId="0" fillId="0" borderId="8" xfId="0" applyNumberFormat="1" applyBorder="1"/>
    <xf numFmtId="166" fontId="0" fillId="0" borderId="8" xfId="0" applyNumberFormat="1" applyBorder="1"/>
    <xf numFmtId="3" fontId="0" fillId="0" borderId="8" xfId="1" applyNumberFormat="1" applyFont="1" applyBorder="1"/>
    <xf numFmtId="3" fontId="0" fillId="0" borderId="9" xfId="1" applyNumberFormat="1" applyFont="1" applyBorder="1"/>
    <xf numFmtId="0" fontId="2" fillId="0" borderId="2" xfId="0" applyFont="1" applyBorder="1" applyAlignment="1">
      <alignment horizontal="center" vertical="center" wrapText="1"/>
    </xf>
    <xf numFmtId="0" fontId="2" fillId="0" borderId="3" xfId="0" applyFont="1" applyBorder="1" applyAlignment="1">
      <alignment horizontal="center" vertical="center" wrapText="1"/>
    </xf>
    <xf numFmtId="0" fontId="2" fillId="0" borderId="11" xfId="0" applyFont="1" applyBorder="1" applyAlignment="1">
      <alignment horizontal="center" vertical="center" wrapText="1"/>
    </xf>
    <xf numFmtId="0" fontId="2" fillId="0" borderId="12" xfId="0" applyFont="1" applyBorder="1" applyAlignment="1">
      <alignment horizontal="center" vertical="center" wrapText="1"/>
    </xf>
    <xf numFmtId="0" fontId="2" fillId="0" borderId="0" xfId="0" applyFont="1"/>
    <xf numFmtId="0" fontId="12" fillId="0" borderId="0" xfId="0" applyFont="1"/>
    <xf numFmtId="0" fontId="13"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justify" vertical="center"/>
    </xf>
    <xf numFmtId="0" fontId="16" fillId="0" borderId="0" xfId="0" applyFont="1" applyAlignment="1">
      <alignment horizontal="justify" vertical="center"/>
    </xf>
    <xf numFmtId="0" fontId="7" fillId="0" borderId="0" xfId="0" applyFont="1" applyAlignment="1">
      <alignment horizontal="justify" vertical="center"/>
    </xf>
    <xf numFmtId="0" fontId="0" fillId="4" borderId="0" xfId="0" applyFill="1" applyAlignment="1">
      <alignment horizontal="center"/>
    </xf>
    <xf numFmtId="0" fontId="0" fillId="4" borderId="4" xfId="0" applyFill="1" applyBorder="1"/>
    <xf numFmtId="165" fontId="0" fillId="4" borderId="0" xfId="1" applyNumberFormat="1" applyFont="1" applyFill="1"/>
    <xf numFmtId="10" fontId="0" fillId="4" borderId="1" xfId="0" applyNumberFormat="1" applyFill="1" applyBorder="1"/>
    <xf numFmtId="3" fontId="0" fillId="4" borderId="1" xfId="1" applyNumberFormat="1" applyFont="1" applyFill="1" applyBorder="1"/>
    <xf numFmtId="0" fontId="0" fillId="4" borderId="11" xfId="0" applyFill="1" applyBorder="1" applyAlignment="1">
      <alignment horizontal="center"/>
    </xf>
    <xf numFmtId="0" fontId="0" fillId="2" borderId="6" xfId="0" applyFill="1" applyBorder="1" applyAlignment="1">
      <alignment horizontal="center"/>
    </xf>
    <xf numFmtId="166" fontId="0" fillId="0" borderId="6" xfId="0" applyNumberFormat="1" applyBorder="1" applyAlignment="1">
      <alignment horizontal="center"/>
    </xf>
    <xf numFmtId="166" fontId="0" fillId="0" borderId="9" xfId="0" applyNumberFormat="1" applyBorder="1" applyAlignment="1">
      <alignment horizontal="center"/>
    </xf>
    <xf numFmtId="166" fontId="0" fillId="0" borderId="1" xfId="0" applyNumberFormat="1" applyBorder="1" applyAlignment="1">
      <alignment horizontal="center"/>
    </xf>
    <xf numFmtId="166" fontId="0" fillId="0" borderId="8" xfId="0" applyNumberFormat="1" applyBorder="1" applyAlignment="1">
      <alignment horizontal="center"/>
    </xf>
    <xf numFmtId="0" fontId="21" fillId="0" borderId="0" xfId="0" applyFont="1"/>
    <xf numFmtId="0" fontId="22" fillId="0" borderId="0" xfId="0" applyFont="1"/>
    <xf numFmtId="0" fontId="0" fillId="2" borderId="1" xfId="0" applyFill="1" applyBorder="1" applyAlignment="1">
      <alignment horizontal="center"/>
    </xf>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2" borderId="1" xfId="0" applyFill="1" applyBorder="1" applyAlignment="1">
      <alignment horizontal="center" vertical="center" wrapText="1"/>
    </xf>
    <xf numFmtId="0" fontId="0" fillId="2" borderId="1" xfId="0" applyFill="1" applyBorder="1" applyAlignment="1">
      <alignment horizontal="center" vertical="center"/>
    </xf>
    <xf numFmtId="0" fontId="0" fillId="3" borderId="1" xfId="0" applyFill="1" applyBorder="1" applyAlignment="1">
      <alignment horizontal="center" wrapText="1"/>
    </xf>
    <xf numFmtId="0" fontId="0" fillId="0" borderId="0" xfId="0"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10" xfId="0" applyBorder="1" applyAlignment="1">
      <alignment horizontal="center" vertical="center"/>
    </xf>
    <xf numFmtId="0" fontId="0" fillId="0" borderId="17" xfId="0" applyBorder="1" applyAlignment="1">
      <alignment horizontal="center" vertical="center" wrapText="1"/>
    </xf>
    <xf numFmtId="0" fontId="0" fillId="0" borderId="18" xfId="0" applyBorder="1" applyAlignment="1">
      <alignment horizontal="center" vertical="center" wrapText="1"/>
    </xf>
    <xf numFmtId="0" fontId="0" fillId="0" borderId="11" xfId="0" applyBorder="1" applyAlignment="1">
      <alignment horizontal="center" vertical="center" wrapText="1"/>
    </xf>
    <xf numFmtId="0" fontId="0" fillId="2" borderId="2" xfId="0" applyFill="1" applyBorder="1" applyAlignment="1">
      <alignment horizontal="center" wrapText="1"/>
    </xf>
    <xf numFmtId="0" fontId="0" fillId="2" borderId="5" xfId="0" applyFill="1" applyBorder="1" applyAlignment="1">
      <alignment horizontal="center" wrapText="1"/>
    </xf>
    <xf numFmtId="0" fontId="0" fillId="2" borderId="3" xfId="0" applyFill="1" applyBorder="1" applyAlignment="1">
      <alignment horizontal="center" vertical="center"/>
    </xf>
    <xf numFmtId="0" fontId="0" fillId="2" borderId="3" xfId="0" applyFill="1" applyBorder="1" applyAlignment="1">
      <alignment horizontal="center"/>
    </xf>
    <xf numFmtId="0" fontId="0" fillId="2" borderId="4" xfId="0" applyFill="1" applyBorder="1" applyAlignment="1">
      <alignment horizontal="center"/>
    </xf>
    <xf numFmtId="0" fontId="0" fillId="3" borderId="0" xfId="0" applyFill="1" applyAlignment="1">
      <alignment horizontal="center" vertical="center"/>
    </xf>
    <xf numFmtId="0" fontId="0" fillId="3" borderId="2" xfId="0" applyFill="1" applyBorder="1" applyAlignment="1">
      <alignment horizontal="center" vertical="center"/>
    </xf>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0" fillId="3" borderId="7" xfId="0" applyFill="1" applyBorder="1" applyAlignment="1">
      <alignment horizontal="center"/>
    </xf>
    <xf numFmtId="0" fontId="0" fillId="3" borderId="8" xfId="0" applyFill="1" applyBorder="1" applyAlignment="1">
      <alignment horizontal="center"/>
    </xf>
    <xf numFmtId="0" fontId="0" fillId="3" borderId="9" xfId="0" applyFill="1" applyBorder="1" applyAlignment="1">
      <alignment horizontal="center"/>
    </xf>
    <xf numFmtId="0" fontId="0" fillId="0" borderId="10" xfId="0" applyBorder="1" applyAlignment="1" applyProtection="1">
      <alignment horizontal="center"/>
      <protection locked="0"/>
    </xf>
    <xf numFmtId="0" fontId="0" fillId="0" borderId="5" xfId="0" applyBorder="1" applyAlignment="1" applyProtection="1">
      <alignment horizontal="center"/>
      <protection locked="0"/>
    </xf>
    <xf numFmtId="0" fontId="0" fillId="0" borderId="5" xfId="0" applyBorder="1" applyProtection="1">
      <protection locked="0"/>
    </xf>
    <xf numFmtId="0" fontId="0" fillId="0" borderId="7" xfId="0" applyBorder="1" applyProtection="1">
      <protection locked="0"/>
    </xf>
    <xf numFmtId="0" fontId="0" fillId="0" borderId="0" xfId="0" applyProtection="1">
      <protection locked="0"/>
    </xf>
    <xf numFmtId="0" fontId="0" fillId="0" borderId="11" xfId="0" applyBorder="1" applyAlignment="1" applyProtection="1">
      <alignment horizontal="center"/>
      <protection locked="0"/>
    </xf>
    <xf numFmtId="0" fontId="0" fillId="0" borderId="1" xfId="0" applyBorder="1" applyAlignment="1" applyProtection="1">
      <alignment horizontal="center"/>
      <protection locked="0"/>
    </xf>
    <xf numFmtId="0" fontId="0" fillId="0" borderId="1" xfId="0" applyBorder="1" applyProtection="1">
      <protection locked="0"/>
    </xf>
    <xf numFmtId="0" fontId="0" fillId="0" borderId="8" xfId="0" applyBorder="1" applyProtection="1">
      <protection locked="0"/>
    </xf>
  </cellXfs>
  <cellStyles count="2">
    <cellStyle name="Milliers" xfId="1" builtinId="3"/>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3910149</xdr:colOff>
      <xdr:row>6</xdr:row>
      <xdr:rowOff>222794</xdr:rowOff>
    </xdr:from>
    <xdr:to>
      <xdr:col>0</xdr:col>
      <xdr:colOff>5699034</xdr:colOff>
      <xdr:row>10</xdr:row>
      <xdr:rowOff>52251</xdr:rowOff>
    </xdr:to>
    <xdr:pic>
      <xdr:nvPicPr>
        <xdr:cNvPr id="2" name="Image 2">
          <a:extLst>
            <a:ext uri="{FF2B5EF4-FFF2-40B4-BE49-F238E27FC236}">
              <a16:creationId xmlns:a16="http://schemas.microsoft.com/office/drawing/2014/main" id="{C38A9268-D043-18BF-8BFF-F4423892799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910149" y="3655423"/>
          <a:ext cx="1788885" cy="1142999"/>
        </a:xfrm>
        <a:prstGeom prst="rect">
          <a:avLst/>
        </a:prstGeom>
        <a:noFill/>
        <a:ln w="9525">
          <a:solidFill>
            <a:srgbClr val="FFFFFF"/>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953911</xdr:colOff>
      <xdr:row>3</xdr:row>
      <xdr:rowOff>146755</xdr:rowOff>
    </xdr:from>
    <xdr:to>
      <xdr:col>5</xdr:col>
      <xdr:colOff>920045</xdr:colOff>
      <xdr:row>5</xdr:row>
      <xdr:rowOff>28223</xdr:rowOff>
    </xdr:to>
    <xdr:sp macro="" textlink="">
      <xdr:nvSpPr>
        <xdr:cNvPr id="3" name="Rectangle : coins arrondis 2">
          <a:extLst>
            <a:ext uri="{FF2B5EF4-FFF2-40B4-BE49-F238E27FC236}">
              <a16:creationId xmlns:a16="http://schemas.microsoft.com/office/drawing/2014/main" id="{31809BEC-AB5A-27FA-1CAD-09CAF078A460}"/>
            </a:ext>
          </a:extLst>
        </xdr:cNvPr>
        <xdr:cNvSpPr/>
      </xdr:nvSpPr>
      <xdr:spPr>
        <a:xfrm>
          <a:off x="7241822" y="1207911"/>
          <a:ext cx="1123245" cy="41204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Historisation</a:t>
          </a:r>
        </a:p>
      </xdr:txBody>
    </xdr:sp>
    <xdr:clientData/>
  </xdr:twoCellAnchor>
  <xdr:twoCellAnchor>
    <xdr:from>
      <xdr:col>4</xdr:col>
      <xdr:colOff>959556</xdr:colOff>
      <xdr:row>5</xdr:row>
      <xdr:rowOff>242711</xdr:rowOff>
    </xdr:from>
    <xdr:to>
      <xdr:col>5</xdr:col>
      <xdr:colOff>925690</xdr:colOff>
      <xdr:row>7</xdr:row>
      <xdr:rowOff>124178</xdr:rowOff>
    </xdr:to>
    <xdr:sp macro="" textlink="">
      <xdr:nvSpPr>
        <xdr:cNvPr id="4" name="Rectangle : coins arrondis 3">
          <a:extLst>
            <a:ext uri="{FF2B5EF4-FFF2-40B4-BE49-F238E27FC236}">
              <a16:creationId xmlns:a16="http://schemas.microsoft.com/office/drawing/2014/main" id="{0DCF8BD2-284B-498F-1737-943232BED43D}"/>
            </a:ext>
          </a:extLst>
        </xdr:cNvPr>
        <xdr:cNvSpPr/>
      </xdr:nvSpPr>
      <xdr:spPr>
        <a:xfrm>
          <a:off x="7247467" y="1834444"/>
          <a:ext cx="1123245" cy="41204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Remise</a:t>
          </a:r>
          <a:r>
            <a:rPr lang="fr-FR" sz="1100" baseline="0"/>
            <a:t> à zéro</a:t>
          </a:r>
          <a:endParaRPr lang="fr-FR" sz="1100"/>
        </a:p>
      </xdr:txBody>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BA086-27A9-4B33-96A4-6676C7CF785F}">
  <sheetPr codeName="Feuil1"/>
  <dimension ref="A1:A37"/>
  <sheetViews>
    <sheetView showGridLines="0" tabSelected="1" workbookViewId="0"/>
  </sheetViews>
  <sheetFormatPr baseColWidth="10" defaultRowHeight="21" x14ac:dyDescent="0.4"/>
  <cols>
    <col min="1" max="1" width="74.28515625" customWidth="1"/>
  </cols>
  <sheetData>
    <row r="1" spans="1:1" x14ac:dyDescent="0.4">
      <c r="A1" s="57" t="s">
        <v>196</v>
      </c>
    </row>
    <row r="2" spans="1:1" x14ac:dyDescent="0.4">
      <c r="A2" s="58" t="s">
        <v>197</v>
      </c>
    </row>
    <row r="3" spans="1:1" x14ac:dyDescent="0.4">
      <c r="A3" s="59"/>
    </row>
    <row r="4" spans="1:1" ht="41.4" x14ac:dyDescent="0.4">
      <c r="A4" s="59" t="s">
        <v>198</v>
      </c>
    </row>
    <row r="5" spans="1:1" x14ac:dyDescent="0.4">
      <c r="A5" s="60"/>
    </row>
    <row r="6" spans="1:1" ht="55.2" x14ac:dyDescent="0.4">
      <c r="A6" s="59" t="s">
        <v>206</v>
      </c>
    </row>
    <row r="7" spans="1:1" x14ac:dyDescent="0.4">
      <c r="A7" s="59"/>
    </row>
    <row r="8" spans="1:1" x14ac:dyDescent="0.4">
      <c r="A8" s="32" t="s">
        <v>199</v>
      </c>
    </row>
    <row r="9" spans="1:1" x14ac:dyDescent="0.4">
      <c r="A9" s="30" t="s">
        <v>200</v>
      </c>
    </row>
    <row r="10" spans="1:1" x14ac:dyDescent="0.4">
      <c r="A10" s="59"/>
    </row>
    <row r="11" spans="1:1" x14ac:dyDescent="0.4">
      <c r="A11" s="32" t="s">
        <v>217</v>
      </c>
    </row>
    <row r="12" spans="1:1" x14ac:dyDescent="0.4">
      <c r="A12" s="32" t="s">
        <v>211</v>
      </c>
    </row>
    <row r="13" spans="1:1" x14ac:dyDescent="0.4">
      <c r="A13" s="32" t="s">
        <v>212</v>
      </c>
    </row>
    <row r="14" spans="1:1" x14ac:dyDescent="0.4">
      <c r="A14" s="32" t="s">
        <v>213</v>
      </c>
    </row>
    <row r="15" spans="1:1" x14ac:dyDescent="0.4">
      <c r="A15" s="32" t="s">
        <v>214</v>
      </c>
    </row>
    <row r="16" spans="1:1" x14ac:dyDescent="0.4">
      <c r="A16" s="32" t="s">
        <v>215</v>
      </c>
    </row>
    <row r="17" spans="1:1" x14ac:dyDescent="0.4">
      <c r="A17" s="32" t="s">
        <v>216</v>
      </c>
    </row>
    <row r="18" spans="1:1" x14ac:dyDescent="0.4">
      <c r="A18" s="61"/>
    </row>
    <row r="19" spans="1:1" x14ac:dyDescent="0.4">
      <c r="A19" s="60"/>
    </row>
    <row r="20" spans="1:1" ht="41.4" x14ac:dyDescent="0.4">
      <c r="A20" s="59" t="s">
        <v>201</v>
      </c>
    </row>
    <row r="21" spans="1:1" x14ac:dyDescent="0.4">
      <c r="A21" s="30" t="s">
        <v>202</v>
      </c>
    </row>
    <row r="22" spans="1:1" x14ac:dyDescent="0.4">
      <c r="A22" s="59"/>
    </row>
    <row r="23" spans="1:1" x14ac:dyDescent="0.4">
      <c r="A23" s="32" t="s">
        <v>203</v>
      </c>
    </row>
    <row r="24" spans="1:1" x14ac:dyDescent="0.4">
      <c r="A24" s="30" t="s">
        <v>200</v>
      </c>
    </row>
    <row r="25" spans="1:1" x14ac:dyDescent="0.4">
      <c r="A25" s="59"/>
    </row>
    <row r="26" spans="1:1" ht="27.6" x14ac:dyDescent="0.4">
      <c r="A26" s="32" t="s">
        <v>207</v>
      </c>
    </row>
    <row r="27" spans="1:1" ht="27.6" x14ac:dyDescent="0.4">
      <c r="A27" s="32" t="s">
        <v>208</v>
      </c>
    </row>
    <row r="28" spans="1:1" x14ac:dyDescent="0.4">
      <c r="A28" s="32"/>
    </row>
    <row r="29" spans="1:1" ht="27.6" x14ac:dyDescent="0.4">
      <c r="A29" s="30" t="s">
        <v>209</v>
      </c>
    </row>
    <row r="30" spans="1:1" x14ac:dyDescent="0.4">
      <c r="A30" s="30"/>
    </row>
    <row r="31" spans="1:1" x14ac:dyDescent="0.4">
      <c r="A31" s="32" t="s">
        <v>204</v>
      </c>
    </row>
    <row r="32" spans="1:1" ht="27.6" x14ac:dyDescent="0.4">
      <c r="A32" s="30" t="s">
        <v>205</v>
      </c>
    </row>
    <row r="33" spans="1:1" x14ac:dyDescent="0.4">
      <c r="A33" s="30" t="s">
        <v>200</v>
      </c>
    </row>
    <row r="34" spans="1:1" x14ac:dyDescent="0.4">
      <c r="A34" s="32"/>
    </row>
    <row r="35" spans="1:1" ht="27.6" x14ac:dyDescent="0.4">
      <c r="A35" s="32" t="s">
        <v>210</v>
      </c>
    </row>
    <row r="37" spans="1:1" x14ac:dyDescent="0.4">
      <c r="A37" s="29"/>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6A3BD0-0FB6-46B2-9245-D1D2E0A8A432}">
  <sheetPr codeName="Feuil2"/>
  <dimension ref="A1:G34"/>
  <sheetViews>
    <sheetView showGridLines="0" zoomScale="105" workbookViewId="0"/>
  </sheetViews>
  <sheetFormatPr baseColWidth="10" defaultRowHeight="21" x14ac:dyDescent="0.4"/>
  <cols>
    <col min="1" max="1" width="55.640625" customWidth="1"/>
  </cols>
  <sheetData>
    <row r="1" spans="1:7" x14ac:dyDescent="0.4">
      <c r="A1" s="27" t="s">
        <v>75</v>
      </c>
    </row>
    <row r="2" spans="1:7" x14ac:dyDescent="0.4">
      <c r="A2" s="27" t="s">
        <v>76</v>
      </c>
    </row>
    <row r="3" spans="1:7" x14ac:dyDescent="0.4">
      <c r="A3" s="27" t="s">
        <v>77</v>
      </c>
    </row>
    <row r="4" spans="1:7" x14ac:dyDescent="0.4">
      <c r="A4" s="28"/>
    </row>
    <row r="5" spans="1:7" x14ac:dyDescent="0.4">
      <c r="A5" s="29" t="s">
        <v>78</v>
      </c>
    </row>
    <row r="6" spans="1:7" ht="43.8" x14ac:dyDescent="0.4">
      <c r="A6" s="30" t="s">
        <v>79</v>
      </c>
      <c r="G6" s="1"/>
    </row>
    <row r="7" spans="1:7" x14ac:dyDescent="0.4">
      <c r="A7" s="31" t="s">
        <v>80</v>
      </c>
    </row>
    <row r="8" spans="1:7" x14ac:dyDescent="0.4">
      <c r="A8" s="30" t="s">
        <v>97</v>
      </c>
    </row>
    <row r="9" spans="1:7" x14ac:dyDescent="0.4">
      <c r="A9" s="30" t="s">
        <v>98</v>
      </c>
    </row>
    <row r="10" spans="1:7" x14ac:dyDescent="0.4">
      <c r="A10" s="30" t="s">
        <v>99</v>
      </c>
    </row>
    <row r="11" spans="1:7" x14ac:dyDescent="0.4">
      <c r="A11" s="30" t="s">
        <v>100</v>
      </c>
    </row>
    <row r="12" spans="1:7" x14ac:dyDescent="0.4">
      <c r="A12" s="32" t="s">
        <v>101</v>
      </c>
    </row>
    <row r="13" spans="1:7" x14ac:dyDescent="0.4">
      <c r="A13" s="31"/>
    </row>
    <row r="14" spans="1:7" ht="27.6" x14ac:dyDescent="0.4">
      <c r="A14" s="30" t="s">
        <v>81</v>
      </c>
    </row>
    <row r="15" spans="1:7" x14ac:dyDescent="0.4">
      <c r="A15" s="31"/>
    </row>
    <row r="16" spans="1:7" x14ac:dyDescent="0.4">
      <c r="A16" s="29" t="s">
        <v>82</v>
      </c>
    </row>
    <row r="17" spans="1:1" ht="49.2" customHeight="1" x14ac:dyDescent="0.4">
      <c r="A17" s="30" t="s">
        <v>83</v>
      </c>
    </row>
    <row r="18" spans="1:1" x14ac:dyDescent="0.4">
      <c r="A18" s="31"/>
    </row>
    <row r="19" spans="1:1" x14ac:dyDescent="0.4">
      <c r="A19" s="29" t="s">
        <v>84</v>
      </c>
    </row>
    <row r="20" spans="1:1" x14ac:dyDescent="0.4">
      <c r="A20" s="30" t="s">
        <v>85</v>
      </c>
    </row>
    <row r="21" spans="1:1" x14ac:dyDescent="0.4">
      <c r="A21" s="33" t="s">
        <v>86</v>
      </c>
    </row>
    <row r="22" spans="1:1" ht="27.6" x14ac:dyDescent="0.4">
      <c r="A22" s="33" t="s">
        <v>87</v>
      </c>
    </row>
    <row r="23" spans="1:1" x14ac:dyDescent="0.4">
      <c r="A23" s="30"/>
    </row>
    <row r="24" spans="1:1" x14ac:dyDescent="0.4">
      <c r="A24" s="29" t="s">
        <v>88</v>
      </c>
    </row>
    <row r="25" spans="1:1" ht="41.4" x14ac:dyDescent="0.4">
      <c r="A25" s="30" t="s">
        <v>89</v>
      </c>
    </row>
    <row r="26" spans="1:1" x14ac:dyDescent="0.4">
      <c r="A26" s="33" t="s">
        <v>90</v>
      </c>
    </row>
    <row r="27" spans="1:1" x14ac:dyDescent="0.4">
      <c r="A27" s="33" t="s">
        <v>91</v>
      </c>
    </row>
    <row r="28" spans="1:1" x14ac:dyDescent="0.4">
      <c r="A28" s="28"/>
    </row>
    <row r="29" spans="1:1" x14ac:dyDescent="0.4">
      <c r="A29" s="29" t="s">
        <v>92</v>
      </c>
    </row>
    <row r="30" spans="1:1" ht="27.6" x14ac:dyDescent="0.4">
      <c r="A30" s="30" t="s">
        <v>93</v>
      </c>
    </row>
    <row r="31" spans="1:1" x14ac:dyDescent="0.4">
      <c r="A31" s="34"/>
    </row>
    <row r="32" spans="1:1" x14ac:dyDescent="0.4">
      <c r="A32" s="27" t="s">
        <v>94</v>
      </c>
    </row>
    <row r="33" spans="1:1" x14ac:dyDescent="0.4">
      <c r="A33" s="29" t="s">
        <v>95</v>
      </c>
    </row>
    <row r="34" spans="1:1" ht="27.6" x14ac:dyDescent="0.4">
      <c r="A34" s="30" t="s">
        <v>96</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4D04F5-6A15-44AE-817A-AFB9D5D797D8}">
  <sheetPr codeName="Feuil3"/>
  <dimension ref="A2:G42"/>
  <sheetViews>
    <sheetView zoomScale="95" workbookViewId="0"/>
  </sheetViews>
  <sheetFormatPr baseColWidth="10" defaultRowHeight="21" x14ac:dyDescent="0.4"/>
  <cols>
    <col min="1" max="1" width="15.0703125" customWidth="1"/>
    <col min="2" max="2" width="24.85546875" customWidth="1"/>
    <col min="3" max="3" width="14.85546875" customWidth="1"/>
  </cols>
  <sheetData>
    <row r="2" spans="1:6" x14ac:dyDescent="0.4">
      <c r="C2" t="s">
        <v>4</v>
      </c>
      <c r="D2" s="1">
        <v>9590789</v>
      </c>
      <c r="E2" s="108" t="s">
        <v>15</v>
      </c>
      <c r="F2" s="108">
        <v>157639</v>
      </c>
    </row>
    <row r="3" spans="1:6" x14ac:dyDescent="0.4">
      <c r="B3" t="s">
        <v>0</v>
      </c>
      <c r="C3" t="s">
        <v>5</v>
      </c>
      <c r="D3" s="62" t="str">
        <f>IF(ISBLANK($D$2),"",IFERROR(VLOOKUP($D$2,Navires,2,FALSE),"navire inconnu"))</f>
        <v>navire inconnu</v>
      </c>
    </row>
    <row r="4" spans="1:6" x14ac:dyDescent="0.4">
      <c r="B4" t="s">
        <v>1</v>
      </c>
      <c r="C4" t="s">
        <v>7</v>
      </c>
      <c r="D4" s="1">
        <v>188</v>
      </c>
    </row>
    <row r="5" spans="1:6" x14ac:dyDescent="0.4">
      <c r="B5" t="s">
        <v>2</v>
      </c>
      <c r="C5" t="s">
        <v>8</v>
      </c>
      <c r="D5" s="1">
        <v>32</v>
      </c>
    </row>
    <row r="6" spans="1:6" x14ac:dyDescent="0.4">
      <c r="B6" t="s">
        <v>3</v>
      </c>
      <c r="C6" t="s">
        <v>9</v>
      </c>
      <c r="D6" s="1">
        <v>12.1</v>
      </c>
    </row>
    <row r="7" spans="1:6" x14ac:dyDescent="0.4">
      <c r="C7" t="s">
        <v>10</v>
      </c>
      <c r="D7" s="1" t="s">
        <v>11</v>
      </c>
    </row>
    <row r="8" spans="1:6" x14ac:dyDescent="0.4">
      <c r="C8" t="s">
        <v>12</v>
      </c>
      <c r="D8" s="1">
        <v>6</v>
      </c>
    </row>
    <row r="9" spans="1:6" x14ac:dyDescent="0.4">
      <c r="A9" t="s">
        <v>16</v>
      </c>
      <c r="C9" t="s">
        <v>13</v>
      </c>
      <c r="D9" s="1" t="s">
        <v>14</v>
      </c>
    </row>
    <row r="11" spans="1:6" x14ac:dyDescent="0.4">
      <c r="A11" s="75" t="s">
        <v>17</v>
      </c>
      <c r="B11" s="75"/>
      <c r="C11" s="75"/>
      <c r="D11" s="75"/>
      <c r="E11" s="75"/>
      <c r="F11" s="75"/>
    </row>
    <row r="12" spans="1:6" ht="42" x14ac:dyDescent="0.4">
      <c r="A12" s="15" t="s">
        <v>18</v>
      </c>
      <c r="B12" s="16"/>
      <c r="C12" s="15" t="s">
        <v>19</v>
      </c>
      <c r="D12" s="18" t="s">
        <v>20</v>
      </c>
      <c r="E12" s="15" t="s">
        <v>21</v>
      </c>
      <c r="F12" s="16" t="s">
        <v>22</v>
      </c>
    </row>
    <row r="13" spans="1:6" x14ac:dyDescent="0.4">
      <c r="A13" s="104" t="s">
        <v>23</v>
      </c>
      <c r="B13" s="13" t="s">
        <v>29</v>
      </c>
      <c r="C13" s="109" t="s">
        <v>34</v>
      </c>
      <c r="D13" s="19">
        <v>10000</v>
      </c>
      <c r="E13" s="67">
        <v>0.04</v>
      </c>
      <c r="F13" s="14">
        <v>400</v>
      </c>
    </row>
    <row r="14" spans="1:6" x14ac:dyDescent="0.4">
      <c r="A14" s="105" t="s">
        <v>25</v>
      </c>
      <c r="B14" s="3" t="s">
        <v>30</v>
      </c>
      <c r="C14" s="110" t="s">
        <v>34</v>
      </c>
      <c r="D14" s="20">
        <v>20000</v>
      </c>
      <c r="E14" s="20">
        <v>0.02</v>
      </c>
      <c r="F14" s="7">
        <v>400</v>
      </c>
    </row>
    <row r="15" spans="1:6" x14ac:dyDescent="0.4">
      <c r="A15" s="105" t="s">
        <v>26</v>
      </c>
      <c r="B15" s="3" t="s">
        <v>31</v>
      </c>
      <c r="C15" s="110" t="s">
        <v>34</v>
      </c>
      <c r="D15" s="20">
        <v>19000</v>
      </c>
      <c r="E15" s="20">
        <v>0</v>
      </c>
      <c r="F15" s="7"/>
    </row>
    <row r="16" spans="1:6" ht="42" x14ac:dyDescent="0.4">
      <c r="A16" s="105" t="s">
        <v>27</v>
      </c>
      <c r="B16" s="4" t="s">
        <v>32</v>
      </c>
      <c r="C16" s="110" t="s">
        <v>35</v>
      </c>
      <c r="D16" s="20">
        <v>1500</v>
      </c>
      <c r="E16" s="20">
        <v>0.16</v>
      </c>
      <c r="F16" s="7">
        <v>240</v>
      </c>
    </row>
    <row r="17" spans="1:6" x14ac:dyDescent="0.4">
      <c r="A17" s="105" t="s">
        <v>25</v>
      </c>
      <c r="B17" s="3" t="s">
        <v>30</v>
      </c>
      <c r="C17" s="110" t="s">
        <v>35</v>
      </c>
      <c r="D17" s="20">
        <v>1800</v>
      </c>
      <c r="E17" s="20">
        <v>0.08</v>
      </c>
      <c r="F17" s="7">
        <v>44</v>
      </c>
    </row>
    <row r="18" spans="1:6" x14ac:dyDescent="0.4">
      <c r="A18" s="105" t="s">
        <v>28</v>
      </c>
      <c r="B18" s="3" t="s">
        <v>33</v>
      </c>
      <c r="C18" s="110" t="s">
        <v>35</v>
      </c>
      <c r="D18" s="20">
        <v>1500</v>
      </c>
      <c r="E18" s="20">
        <v>0.52</v>
      </c>
      <c r="F18" s="7">
        <v>780</v>
      </c>
    </row>
    <row r="19" spans="1:6" x14ac:dyDescent="0.4">
      <c r="A19" s="106"/>
      <c r="B19" s="3"/>
      <c r="C19" s="111"/>
      <c r="D19" s="3"/>
      <c r="E19" s="3"/>
      <c r="F19" s="8"/>
    </row>
    <row r="20" spans="1:6" x14ac:dyDescent="0.4">
      <c r="A20" s="106"/>
      <c r="B20" s="3"/>
      <c r="C20" s="111"/>
      <c r="D20" s="3"/>
      <c r="E20" s="3"/>
      <c r="F20" s="8"/>
    </row>
    <row r="21" spans="1:6" x14ac:dyDescent="0.4">
      <c r="A21" s="106"/>
      <c r="B21" s="3"/>
      <c r="C21" s="111"/>
      <c r="D21" s="3"/>
      <c r="E21" s="3"/>
      <c r="F21" s="8"/>
    </row>
    <row r="22" spans="1:6" x14ac:dyDescent="0.4">
      <c r="A22" s="106"/>
      <c r="B22" s="3"/>
      <c r="C22" s="111"/>
      <c r="D22" s="3"/>
      <c r="E22" s="3"/>
      <c r="F22" s="8"/>
    </row>
    <row r="23" spans="1:6" x14ac:dyDescent="0.4">
      <c r="A23" s="106"/>
      <c r="B23" s="3"/>
      <c r="C23" s="111"/>
      <c r="D23" s="3"/>
      <c r="E23" s="3"/>
      <c r="F23" s="8"/>
    </row>
    <row r="24" spans="1:6" x14ac:dyDescent="0.4">
      <c r="A24" s="106"/>
      <c r="B24" s="3"/>
      <c r="C24" s="111"/>
      <c r="D24" s="3"/>
      <c r="E24" s="3"/>
      <c r="F24" s="8"/>
    </row>
    <row r="25" spans="1:6" x14ac:dyDescent="0.4">
      <c r="A25" s="106"/>
      <c r="B25" s="3"/>
      <c r="C25" s="111"/>
      <c r="D25" s="3"/>
      <c r="E25" s="3"/>
      <c r="F25" s="8"/>
    </row>
    <row r="26" spans="1:6" x14ac:dyDescent="0.4">
      <c r="A26" s="106"/>
      <c r="B26" s="3"/>
      <c r="C26" s="111"/>
      <c r="D26" s="3"/>
      <c r="E26" s="3"/>
      <c r="F26" s="8"/>
    </row>
    <row r="27" spans="1:6" x14ac:dyDescent="0.4">
      <c r="A27" s="106"/>
      <c r="B27" s="3"/>
      <c r="C27" s="111"/>
      <c r="D27" s="3"/>
      <c r="E27" s="3"/>
      <c r="F27" s="8"/>
    </row>
    <row r="28" spans="1:6" x14ac:dyDescent="0.4">
      <c r="A28" s="106"/>
      <c r="B28" s="3"/>
      <c r="C28" s="111"/>
      <c r="D28" s="3"/>
      <c r="E28" s="3"/>
      <c r="F28" s="8"/>
    </row>
    <row r="29" spans="1:6" ht="21.6" thickBot="1" x14ac:dyDescent="0.45">
      <c r="A29" s="107"/>
      <c r="B29" s="10"/>
      <c r="C29" s="112"/>
      <c r="D29" s="10"/>
      <c r="E29" s="10"/>
      <c r="F29" s="11"/>
    </row>
    <row r="30" spans="1:6" ht="21.6" thickBot="1" x14ac:dyDescent="0.45">
      <c r="D30" t="s">
        <v>36</v>
      </c>
    </row>
    <row r="31" spans="1:6" x14ac:dyDescent="0.4">
      <c r="C31" s="5" t="s">
        <v>37</v>
      </c>
      <c r="D31" s="63">
        <f>SUMIF(C13:C29,"D",D13:D29)</f>
        <v>49000</v>
      </c>
    </row>
    <row r="32" spans="1:6" ht="21.6" thickBot="1" x14ac:dyDescent="0.45">
      <c r="C32" s="9" t="s">
        <v>38</v>
      </c>
      <c r="D32" s="11">
        <v>4800</v>
      </c>
    </row>
    <row r="33" spans="1:7" ht="21.6" thickBot="1" x14ac:dyDescent="0.45"/>
    <row r="34" spans="1:7" ht="21.6" thickBot="1" x14ac:dyDescent="0.45">
      <c r="A34" s="76" t="s">
        <v>39</v>
      </c>
      <c r="B34" s="77"/>
      <c r="C34" s="77"/>
      <c r="D34" s="77"/>
      <c r="E34" s="77"/>
      <c r="F34" s="78"/>
    </row>
    <row r="36" spans="1:7" x14ac:dyDescent="0.4">
      <c r="C36" s="21" t="s">
        <v>40</v>
      </c>
      <c r="D36">
        <v>10.9</v>
      </c>
    </row>
    <row r="37" spans="1:7" x14ac:dyDescent="0.4">
      <c r="C37" t="s">
        <v>41</v>
      </c>
      <c r="D37" s="64">
        <f>ROUND(D4*D5*MAX(D36,D6),0)</f>
        <v>72794</v>
      </c>
    </row>
    <row r="39" spans="1:7" x14ac:dyDescent="0.4">
      <c r="A39" s="75"/>
      <c r="B39" s="79" t="s">
        <v>44</v>
      </c>
      <c r="C39" s="16" t="s">
        <v>45</v>
      </c>
      <c r="D39" s="75" t="s">
        <v>48</v>
      </c>
      <c r="E39" s="75"/>
      <c r="F39" s="75"/>
      <c r="G39" s="16" t="s">
        <v>51</v>
      </c>
    </row>
    <row r="40" spans="1:7" ht="42" x14ac:dyDescent="0.4">
      <c r="A40" s="75"/>
      <c r="B40" s="80"/>
      <c r="C40" s="16" t="s">
        <v>47</v>
      </c>
      <c r="D40" s="17" t="s">
        <v>49</v>
      </c>
      <c r="E40" s="75" t="s">
        <v>50</v>
      </c>
      <c r="F40" s="75"/>
      <c r="G40" s="17" t="s">
        <v>52</v>
      </c>
    </row>
    <row r="41" spans="1:7" x14ac:dyDescent="0.4">
      <c r="A41" s="3" t="s">
        <v>42</v>
      </c>
      <c r="B41" s="22">
        <v>30719</v>
      </c>
      <c r="C41" s="22">
        <v>5222</v>
      </c>
      <c r="D41" s="3">
        <v>0.67330999999999996</v>
      </c>
      <c r="E41" s="23">
        <v>0</v>
      </c>
      <c r="F41" s="22">
        <v>0</v>
      </c>
      <c r="G41" s="22">
        <v>25497</v>
      </c>
    </row>
    <row r="42" spans="1:7" x14ac:dyDescent="0.4">
      <c r="A42" s="3" t="s">
        <v>43</v>
      </c>
      <c r="B42" s="22">
        <v>28543</v>
      </c>
      <c r="C42" s="22">
        <v>0</v>
      </c>
      <c r="D42" s="3">
        <v>6.59E-2</v>
      </c>
      <c r="E42" s="65">
        <f>VLOOKUP(D42,réduction!A3:C10,3,TRUE)</f>
        <v>0.3</v>
      </c>
      <c r="F42" s="22">
        <v>8563</v>
      </c>
      <c r="G42" s="66" t="str">
        <f>IF(ISBLANK(A13),"",IFERROR(VLOOKUP(A13,Marchandises,IF(C13="C",3,4),FALSE),"code erroné"))</f>
        <v>code erroné</v>
      </c>
    </row>
  </sheetData>
  <sheetProtection sheet="1" objects="1" scenarios="1"/>
  <mergeCells count="6">
    <mergeCell ref="A11:F11"/>
    <mergeCell ref="A34:F34"/>
    <mergeCell ref="B39:B40"/>
    <mergeCell ref="D39:F39"/>
    <mergeCell ref="E40:F40"/>
    <mergeCell ref="A39:A40"/>
  </mergeCells>
  <phoneticPr fontId="3"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BD74D-F294-46DF-9080-97B20B4295A3}">
  <sheetPr codeName="Feuil4"/>
  <dimension ref="A2:H23"/>
  <sheetViews>
    <sheetView topLeftCell="A3" workbookViewId="0">
      <selection activeCell="I12" sqref="I12"/>
    </sheetView>
  </sheetViews>
  <sheetFormatPr baseColWidth="10" defaultRowHeight="21" x14ac:dyDescent="0.4"/>
  <sheetData>
    <row r="2" spans="1:8" ht="21.6" thickBot="1" x14ac:dyDescent="0.45"/>
    <row r="3" spans="1:8" ht="42" x14ac:dyDescent="0.4">
      <c r="A3" s="24" t="s">
        <v>4</v>
      </c>
      <c r="B3" s="25" t="s">
        <v>53</v>
      </c>
      <c r="C3" s="25" t="s">
        <v>54</v>
      </c>
      <c r="D3" s="25" t="s">
        <v>55</v>
      </c>
      <c r="E3" s="25" t="s">
        <v>56</v>
      </c>
      <c r="F3" s="25" t="s">
        <v>10</v>
      </c>
      <c r="G3" s="25" t="s">
        <v>57</v>
      </c>
      <c r="H3" s="26" t="s">
        <v>58</v>
      </c>
    </row>
    <row r="4" spans="1:8" x14ac:dyDescent="0.4">
      <c r="A4" s="6">
        <v>9385626</v>
      </c>
      <c r="B4" s="3" t="s">
        <v>60</v>
      </c>
      <c r="C4" s="3">
        <v>41</v>
      </c>
      <c r="D4" s="3">
        <v>9</v>
      </c>
      <c r="E4" s="3">
        <v>2</v>
      </c>
      <c r="F4" s="3" t="s">
        <v>68</v>
      </c>
      <c r="G4" s="3">
        <v>3</v>
      </c>
      <c r="H4" s="8" t="s">
        <v>73</v>
      </c>
    </row>
    <row r="5" spans="1:8" x14ac:dyDescent="0.4">
      <c r="A5" s="6">
        <v>9604512</v>
      </c>
      <c r="B5" s="3" t="s">
        <v>59</v>
      </c>
      <c r="C5" s="3">
        <v>229</v>
      </c>
      <c r="D5" s="3">
        <v>32.26</v>
      </c>
      <c r="E5" s="3">
        <v>12.5</v>
      </c>
      <c r="F5" s="3" t="s">
        <v>69</v>
      </c>
      <c r="G5" s="3">
        <v>6</v>
      </c>
      <c r="H5" s="8" t="s">
        <v>14</v>
      </c>
    </row>
    <row r="6" spans="1:8" x14ac:dyDescent="0.4">
      <c r="A6" s="6">
        <v>9694745</v>
      </c>
      <c r="B6" s="3" t="s">
        <v>61</v>
      </c>
      <c r="C6" s="3">
        <v>292</v>
      </c>
      <c r="D6" s="3">
        <v>47.8</v>
      </c>
      <c r="E6" s="3">
        <v>10.9</v>
      </c>
      <c r="F6" s="3" t="s">
        <v>70</v>
      </c>
      <c r="G6" s="3">
        <v>4</v>
      </c>
      <c r="H6" s="8" t="s">
        <v>73</v>
      </c>
    </row>
    <row r="7" spans="1:8" x14ac:dyDescent="0.4">
      <c r="A7" s="6">
        <v>9597851</v>
      </c>
      <c r="B7" s="3" t="s">
        <v>62</v>
      </c>
      <c r="C7" s="3">
        <v>84</v>
      </c>
      <c r="D7" s="3">
        <v>15</v>
      </c>
      <c r="E7" s="3">
        <v>6.2</v>
      </c>
      <c r="F7" s="3" t="s">
        <v>68</v>
      </c>
      <c r="G7" s="3">
        <v>6</v>
      </c>
      <c r="H7" s="8" t="s">
        <v>73</v>
      </c>
    </row>
    <row r="8" spans="1:8" x14ac:dyDescent="0.4">
      <c r="A8" s="6">
        <v>9525637</v>
      </c>
      <c r="B8" s="3" t="s">
        <v>63</v>
      </c>
      <c r="C8" s="3">
        <v>180.4</v>
      </c>
      <c r="D8" s="3">
        <v>30.04</v>
      </c>
      <c r="E8" s="3">
        <v>8.1999999999999993</v>
      </c>
      <c r="F8" s="3" t="s">
        <v>71</v>
      </c>
      <c r="G8" s="3">
        <v>6</v>
      </c>
      <c r="H8" s="8" t="s">
        <v>73</v>
      </c>
    </row>
    <row r="9" spans="1:8" x14ac:dyDescent="0.4">
      <c r="A9" s="6">
        <v>9805651</v>
      </c>
      <c r="B9" s="3" t="s">
        <v>64</v>
      </c>
      <c r="C9" s="3">
        <v>130</v>
      </c>
      <c r="D9" s="3">
        <v>20</v>
      </c>
      <c r="E9" s="3">
        <v>6.8</v>
      </c>
      <c r="F9" s="3" t="s">
        <v>68</v>
      </c>
      <c r="G9" s="3">
        <v>3</v>
      </c>
      <c r="H9" s="8" t="s">
        <v>73</v>
      </c>
    </row>
    <row r="10" spans="1:8" x14ac:dyDescent="0.4">
      <c r="A10" s="6"/>
      <c r="B10" s="3"/>
      <c r="C10" s="3"/>
      <c r="D10" s="3"/>
      <c r="E10" s="3"/>
      <c r="F10" s="3"/>
      <c r="G10" s="3"/>
      <c r="H10" s="8"/>
    </row>
    <row r="11" spans="1:8" x14ac:dyDescent="0.4">
      <c r="A11" s="6"/>
      <c r="B11" s="3"/>
      <c r="C11" s="3"/>
      <c r="D11" s="3"/>
      <c r="E11" s="3"/>
      <c r="F11" s="3"/>
      <c r="G11" s="3"/>
      <c r="H11" s="8"/>
    </row>
    <row r="12" spans="1:8" x14ac:dyDescent="0.4">
      <c r="A12" s="6"/>
      <c r="B12" s="3"/>
      <c r="C12" s="3"/>
      <c r="D12" s="3"/>
      <c r="E12" s="3"/>
      <c r="F12" s="3"/>
      <c r="G12" s="3"/>
      <c r="H12" s="8"/>
    </row>
    <row r="13" spans="1:8" x14ac:dyDescent="0.4">
      <c r="A13" s="6"/>
      <c r="B13" s="3"/>
      <c r="C13" s="3"/>
      <c r="D13" s="3"/>
      <c r="E13" s="3"/>
      <c r="F13" s="3"/>
      <c r="G13" s="3"/>
      <c r="H13" s="8"/>
    </row>
    <row r="14" spans="1:8" x14ac:dyDescent="0.4">
      <c r="A14" s="6"/>
      <c r="B14" s="3"/>
      <c r="C14" s="3"/>
      <c r="D14" s="3"/>
      <c r="E14" s="3"/>
      <c r="F14" s="3"/>
      <c r="G14" s="3"/>
      <c r="H14" s="8"/>
    </row>
    <row r="15" spans="1:8" x14ac:dyDescent="0.4">
      <c r="A15" s="6"/>
      <c r="B15" s="3"/>
      <c r="C15" s="3"/>
      <c r="D15" s="3"/>
      <c r="E15" s="3"/>
      <c r="F15" s="3"/>
      <c r="G15" s="3"/>
      <c r="H15" s="8"/>
    </row>
    <row r="16" spans="1:8" x14ac:dyDescent="0.4">
      <c r="A16" s="6"/>
      <c r="B16" s="3"/>
      <c r="C16" s="3"/>
      <c r="D16" s="3"/>
      <c r="E16" s="3"/>
      <c r="F16" s="3"/>
      <c r="G16" s="3"/>
      <c r="H16" s="8"/>
    </row>
    <row r="17" spans="1:8" x14ac:dyDescent="0.4">
      <c r="A17" s="6"/>
      <c r="B17" s="3"/>
      <c r="C17" s="3"/>
      <c r="D17" s="3"/>
      <c r="E17" s="3"/>
      <c r="F17" s="3"/>
      <c r="G17" s="3"/>
      <c r="H17" s="8"/>
    </row>
    <row r="18" spans="1:8" x14ac:dyDescent="0.4">
      <c r="A18" s="6"/>
      <c r="B18" s="3"/>
      <c r="C18" s="3"/>
      <c r="D18" s="3"/>
      <c r="E18" s="3"/>
      <c r="F18" s="3"/>
      <c r="G18" s="3"/>
      <c r="H18" s="8"/>
    </row>
    <row r="19" spans="1:8" x14ac:dyDescent="0.4">
      <c r="A19" s="6"/>
      <c r="B19" s="3"/>
      <c r="C19" s="3"/>
      <c r="D19" s="3"/>
      <c r="E19" s="3"/>
      <c r="F19" s="3"/>
      <c r="G19" s="3"/>
      <c r="H19" s="8"/>
    </row>
    <row r="20" spans="1:8" x14ac:dyDescent="0.4">
      <c r="A20" s="6"/>
      <c r="B20" s="3"/>
      <c r="C20" s="3"/>
      <c r="D20" s="3"/>
      <c r="E20" s="3"/>
      <c r="F20" s="3"/>
      <c r="G20" s="3"/>
      <c r="H20" s="8"/>
    </row>
    <row r="21" spans="1:8" x14ac:dyDescent="0.4">
      <c r="A21" s="6">
        <v>9478199</v>
      </c>
      <c r="B21" s="3" t="s">
        <v>65</v>
      </c>
      <c r="C21" s="3">
        <v>118</v>
      </c>
      <c r="D21" s="3">
        <v>15.2</v>
      </c>
      <c r="E21" s="3">
        <v>7.3</v>
      </c>
      <c r="F21" s="3" t="s">
        <v>72</v>
      </c>
      <c r="G21" s="3">
        <v>10</v>
      </c>
      <c r="H21" s="8" t="s">
        <v>73</v>
      </c>
    </row>
    <row r="22" spans="1:8" x14ac:dyDescent="0.4">
      <c r="A22" s="6">
        <v>9776418</v>
      </c>
      <c r="B22" s="3" t="s">
        <v>66</v>
      </c>
      <c r="C22" s="3">
        <v>400</v>
      </c>
      <c r="D22" s="3">
        <v>59</v>
      </c>
      <c r="E22" s="3">
        <v>15.4</v>
      </c>
      <c r="F22" s="3" t="s">
        <v>68</v>
      </c>
      <c r="G22" s="3">
        <v>9</v>
      </c>
      <c r="H22" s="8" t="s">
        <v>73</v>
      </c>
    </row>
    <row r="23" spans="1:8" ht="21.6" thickBot="1" x14ac:dyDescent="0.45">
      <c r="A23" s="9">
        <v>9658745</v>
      </c>
      <c r="B23" s="10" t="s">
        <v>67</v>
      </c>
      <c r="C23" s="10">
        <v>175</v>
      </c>
      <c r="D23" s="10">
        <v>28</v>
      </c>
      <c r="E23" s="10">
        <v>10.9</v>
      </c>
      <c r="F23" s="10" t="s">
        <v>11</v>
      </c>
      <c r="G23" s="10">
        <v>9</v>
      </c>
      <c r="H23" s="8" t="s">
        <v>73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A6892B-BCF7-49E7-9FA1-82B6BCC4C657}">
  <sheetPr codeName="Feuil5"/>
  <dimension ref="A1:C10"/>
  <sheetViews>
    <sheetView workbookViewId="0">
      <selection sqref="A1:C1"/>
    </sheetView>
  </sheetViews>
  <sheetFormatPr baseColWidth="10" defaultRowHeight="21" x14ac:dyDescent="0.4"/>
  <cols>
    <col min="3" max="3" width="16.7109375" customWidth="1"/>
  </cols>
  <sheetData>
    <row r="1" spans="1:3" ht="46.8" customHeight="1" x14ac:dyDescent="0.4">
      <c r="A1" s="81" t="s">
        <v>102</v>
      </c>
      <c r="B1" s="81"/>
      <c r="C1" s="81"/>
    </row>
    <row r="2" spans="1:3" x14ac:dyDescent="0.4">
      <c r="A2" s="16" t="s">
        <v>103</v>
      </c>
      <c r="B2" s="16" t="s">
        <v>104</v>
      </c>
      <c r="C2" s="16" t="s">
        <v>105</v>
      </c>
    </row>
    <row r="3" spans="1:3" x14ac:dyDescent="0.4">
      <c r="A3" s="12">
        <v>0</v>
      </c>
      <c r="B3" s="13">
        <v>2.0999999999999999E-3</v>
      </c>
      <c r="C3" s="38">
        <v>0.95</v>
      </c>
    </row>
    <row r="4" spans="1:3" x14ac:dyDescent="0.4">
      <c r="A4" s="6">
        <v>2.0999999999999999E-3</v>
      </c>
      <c r="B4" s="3">
        <v>4.1000000000000003E-3</v>
      </c>
      <c r="C4" s="36">
        <v>0.8</v>
      </c>
    </row>
    <row r="5" spans="1:3" x14ac:dyDescent="0.4">
      <c r="A5" s="6">
        <v>4.1000000000000003E-3</v>
      </c>
      <c r="B5" s="3">
        <v>1.01E-2</v>
      </c>
      <c r="C5" s="36">
        <v>0.7</v>
      </c>
    </row>
    <row r="6" spans="1:3" x14ac:dyDescent="0.4">
      <c r="A6" s="6">
        <v>1.01E-2</v>
      </c>
      <c r="B6" s="3">
        <v>2.5100000000000001E-2</v>
      </c>
      <c r="C6" s="36">
        <v>0.6</v>
      </c>
    </row>
    <row r="7" spans="1:3" x14ac:dyDescent="0.4">
      <c r="A7" s="6">
        <v>2.5100000000000001E-2</v>
      </c>
      <c r="B7" s="3">
        <v>5.0099999999999999E-2</v>
      </c>
      <c r="C7" s="36">
        <v>0.5</v>
      </c>
    </row>
    <row r="8" spans="1:3" x14ac:dyDescent="0.4">
      <c r="A8" s="6">
        <v>5.0099999999999999E-2</v>
      </c>
      <c r="B8" s="3">
        <v>0.10009999999999999</v>
      </c>
      <c r="C8" s="36">
        <v>0.3</v>
      </c>
    </row>
    <row r="9" spans="1:3" x14ac:dyDescent="0.4">
      <c r="A9" s="6">
        <v>0.10009999999999999</v>
      </c>
      <c r="B9" s="3">
        <v>0.13339999999999999</v>
      </c>
      <c r="C9" s="36">
        <v>0.1</v>
      </c>
    </row>
    <row r="10" spans="1:3" ht="21.6" thickBot="1" x14ac:dyDescent="0.45">
      <c r="A10" s="9">
        <v>0.13339999999999999</v>
      </c>
      <c r="B10" s="10"/>
      <c r="C10" s="37">
        <v>0</v>
      </c>
    </row>
  </sheetData>
  <mergeCells count="1">
    <mergeCell ref="A1:C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3F3468-6EA1-4691-A23A-B6BF80FC51A7}">
  <sheetPr codeName="Feuil6"/>
  <dimension ref="A1:F114"/>
  <sheetViews>
    <sheetView showGridLines="0" workbookViewId="0">
      <selection sqref="A1:F1"/>
    </sheetView>
  </sheetViews>
  <sheetFormatPr baseColWidth="10" defaultRowHeight="21" outlineLevelRow="1" x14ac:dyDescent="0.4"/>
  <cols>
    <col min="2" max="2" width="10.85546875" style="2"/>
    <col min="3" max="3" width="10.28515625" customWidth="1"/>
    <col min="4" max="4" width="31.0703125" customWidth="1"/>
  </cols>
  <sheetData>
    <row r="1" spans="1:6" x14ac:dyDescent="0.4">
      <c r="A1" s="82" t="s">
        <v>106</v>
      </c>
      <c r="B1" s="82"/>
      <c r="C1" s="82"/>
      <c r="D1" s="82"/>
      <c r="E1" s="82"/>
      <c r="F1" s="82"/>
    </row>
    <row r="2" spans="1:6" ht="21.6" thickBot="1" x14ac:dyDescent="0.45">
      <c r="A2" s="1"/>
      <c r="B2" s="40"/>
      <c r="C2" s="1"/>
      <c r="D2" s="1"/>
      <c r="E2" s="1"/>
      <c r="F2" s="1"/>
    </row>
    <row r="3" spans="1:6" x14ac:dyDescent="0.4">
      <c r="A3" s="83" t="s">
        <v>107</v>
      </c>
      <c r="B3" s="84"/>
      <c r="C3" s="84" t="s">
        <v>111</v>
      </c>
      <c r="D3" s="84"/>
      <c r="E3" s="84" t="s">
        <v>112</v>
      </c>
      <c r="F3" s="85"/>
    </row>
    <row r="4" spans="1:6" ht="42.6" thickBot="1" x14ac:dyDescent="0.45">
      <c r="A4" s="9" t="s">
        <v>108</v>
      </c>
      <c r="B4" s="41" t="s">
        <v>109</v>
      </c>
      <c r="C4" s="41" t="s">
        <v>18</v>
      </c>
      <c r="D4" s="10" t="s">
        <v>110</v>
      </c>
      <c r="E4" s="10" t="s">
        <v>42</v>
      </c>
      <c r="F4" s="11" t="s">
        <v>43</v>
      </c>
    </row>
    <row r="5" spans="1:6" ht="42" customHeight="1" x14ac:dyDescent="0.4">
      <c r="A5" s="87">
        <v>1</v>
      </c>
      <c r="B5" s="90" t="s">
        <v>113</v>
      </c>
      <c r="C5" s="13" t="s">
        <v>114</v>
      </c>
      <c r="D5" s="13" t="s">
        <v>119</v>
      </c>
      <c r="E5" s="13">
        <v>0</v>
      </c>
      <c r="F5" s="42">
        <v>0</v>
      </c>
    </row>
    <row r="6" spans="1:6" x14ac:dyDescent="0.4">
      <c r="A6" s="87"/>
      <c r="B6" s="90"/>
      <c r="C6" s="3" t="s">
        <v>115</v>
      </c>
      <c r="D6" s="3"/>
      <c r="E6" s="3"/>
      <c r="F6" s="8"/>
    </row>
    <row r="7" spans="1:6" hidden="1" outlineLevel="1" x14ac:dyDescent="0.4">
      <c r="A7" s="87"/>
      <c r="B7" s="90"/>
      <c r="C7" s="3"/>
      <c r="D7" s="3"/>
      <c r="E7" s="3"/>
      <c r="F7" s="8"/>
    </row>
    <row r="8" spans="1:6" hidden="1" outlineLevel="1" x14ac:dyDescent="0.4">
      <c r="A8" s="87"/>
      <c r="B8" s="90"/>
      <c r="C8" s="3"/>
      <c r="D8" s="3"/>
      <c r="E8" s="3"/>
      <c r="F8" s="8"/>
    </row>
    <row r="9" spans="1:6" hidden="1" outlineLevel="1" x14ac:dyDescent="0.4">
      <c r="A9" s="87"/>
      <c r="B9" s="90"/>
      <c r="C9" s="3"/>
      <c r="D9" s="3"/>
      <c r="E9" s="3"/>
      <c r="F9" s="8"/>
    </row>
    <row r="10" spans="1:6" hidden="1" outlineLevel="1" x14ac:dyDescent="0.4">
      <c r="A10" s="87"/>
      <c r="B10" s="90"/>
      <c r="C10" s="3"/>
      <c r="D10" s="3"/>
      <c r="E10" s="3"/>
      <c r="F10" s="8"/>
    </row>
    <row r="11" spans="1:6" hidden="1" outlineLevel="1" x14ac:dyDescent="0.4">
      <c r="A11" s="87"/>
      <c r="B11" s="90"/>
      <c r="C11" s="3"/>
      <c r="D11" s="3"/>
      <c r="E11" s="3"/>
      <c r="F11" s="8"/>
    </row>
    <row r="12" spans="1:6" hidden="1" outlineLevel="1" x14ac:dyDescent="0.4">
      <c r="A12" s="87"/>
      <c r="B12" s="90"/>
      <c r="C12" s="3"/>
      <c r="D12" s="3"/>
      <c r="E12" s="3"/>
      <c r="F12" s="8"/>
    </row>
    <row r="13" spans="1:6" hidden="1" outlineLevel="1" x14ac:dyDescent="0.4">
      <c r="A13" s="87"/>
      <c r="B13" s="90"/>
      <c r="C13" s="3"/>
      <c r="D13" s="3"/>
      <c r="E13" s="3"/>
      <c r="F13" s="8"/>
    </row>
    <row r="14" spans="1:6" hidden="1" outlineLevel="1" x14ac:dyDescent="0.4">
      <c r="A14" s="87"/>
      <c r="B14" s="90"/>
      <c r="C14" s="3"/>
      <c r="D14" s="3"/>
      <c r="E14" s="3"/>
      <c r="F14" s="8"/>
    </row>
    <row r="15" spans="1:6" hidden="1" outlineLevel="1" x14ac:dyDescent="0.4">
      <c r="A15" s="87"/>
      <c r="B15" s="90"/>
      <c r="C15" s="3"/>
      <c r="D15" s="3"/>
      <c r="E15" s="3"/>
      <c r="F15" s="8"/>
    </row>
    <row r="16" spans="1:6" hidden="1" outlineLevel="1" x14ac:dyDescent="0.4">
      <c r="A16" s="88"/>
      <c r="B16" s="91"/>
      <c r="C16" s="3"/>
      <c r="D16" s="3"/>
      <c r="E16" s="3"/>
      <c r="F16" s="8"/>
    </row>
    <row r="17" spans="1:6" hidden="1" outlineLevel="1" x14ac:dyDescent="0.4">
      <c r="A17" s="6"/>
      <c r="B17" s="4"/>
      <c r="C17" s="3"/>
      <c r="D17" s="3"/>
      <c r="E17" s="3"/>
      <c r="F17" s="8"/>
    </row>
    <row r="18" spans="1:6" hidden="1" outlineLevel="1" x14ac:dyDescent="0.4">
      <c r="A18" s="6"/>
      <c r="B18" s="4"/>
      <c r="C18" s="3"/>
      <c r="D18" s="3"/>
      <c r="E18" s="3"/>
      <c r="F18" s="8"/>
    </row>
    <row r="19" spans="1:6" hidden="1" outlineLevel="1" x14ac:dyDescent="0.4">
      <c r="A19" s="6"/>
      <c r="B19" s="4"/>
      <c r="C19" s="3"/>
      <c r="D19" s="3"/>
      <c r="E19" s="3"/>
      <c r="F19" s="8"/>
    </row>
    <row r="20" spans="1:6" hidden="1" outlineLevel="1" x14ac:dyDescent="0.4">
      <c r="A20" s="6"/>
      <c r="B20" s="4"/>
      <c r="C20" s="3"/>
      <c r="D20" s="3"/>
      <c r="E20" s="3"/>
      <c r="F20" s="8"/>
    </row>
    <row r="21" spans="1:6" hidden="1" outlineLevel="1" x14ac:dyDescent="0.4">
      <c r="A21" s="6"/>
      <c r="B21" s="4"/>
      <c r="C21" s="3"/>
      <c r="D21" s="3"/>
      <c r="E21" s="3"/>
      <c r="F21" s="8"/>
    </row>
    <row r="22" spans="1:6" hidden="1" outlineLevel="1" x14ac:dyDescent="0.4">
      <c r="A22" s="6"/>
      <c r="B22" s="4"/>
      <c r="C22" s="3"/>
      <c r="D22" s="3"/>
      <c r="E22" s="3"/>
      <c r="F22" s="8"/>
    </row>
    <row r="23" spans="1:6" collapsed="1" x14ac:dyDescent="0.4">
      <c r="A23" s="86">
        <v>3</v>
      </c>
      <c r="B23" s="89" t="s">
        <v>116</v>
      </c>
      <c r="C23" s="3" t="s">
        <v>120</v>
      </c>
      <c r="D23" s="3" t="s">
        <v>123</v>
      </c>
      <c r="E23" s="3">
        <v>0</v>
      </c>
      <c r="F23" s="8">
        <v>0</v>
      </c>
    </row>
    <row r="24" spans="1:6" x14ac:dyDescent="0.4">
      <c r="A24" s="86"/>
      <c r="B24" s="90"/>
      <c r="C24" s="3" t="s">
        <v>121</v>
      </c>
      <c r="D24" s="3" t="s">
        <v>124</v>
      </c>
      <c r="E24" s="3">
        <v>0</v>
      </c>
      <c r="F24" s="8">
        <v>0</v>
      </c>
    </row>
    <row r="25" spans="1:6" x14ac:dyDescent="0.4">
      <c r="A25" s="86"/>
      <c r="B25" s="90"/>
      <c r="C25" s="3" t="s">
        <v>122</v>
      </c>
      <c r="D25" s="3" t="s">
        <v>125</v>
      </c>
      <c r="E25" s="3">
        <v>0</v>
      </c>
      <c r="F25" s="8">
        <v>0</v>
      </c>
    </row>
    <row r="26" spans="1:6" x14ac:dyDescent="0.4">
      <c r="A26" s="86"/>
      <c r="B26" s="90"/>
      <c r="C26" s="3" t="s">
        <v>24</v>
      </c>
      <c r="D26" s="3" t="s">
        <v>29</v>
      </c>
      <c r="E26" s="3">
        <v>0.16</v>
      </c>
      <c r="F26" s="8">
        <v>0.04</v>
      </c>
    </row>
    <row r="27" spans="1:6" x14ac:dyDescent="0.4">
      <c r="A27" s="86"/>
      <c r="B27" s="90"/>
      <c r="C27" s="3" t="s">
        <v>126</v>
      </c>
      <c r="D27" s="3" t="s">
        <v>127</v>
      </c>
      <c r="E27" s="3">
        <v>0.16</v>
      </c>
      <c r="F27" s="8">
        <v>0.04</v>
      </c>
    </row>
    <row r="28" spans="1:6" x14ac:dyDescent="0.4">
      <c r="A28" s="86"/>
      <c r="B28" s="90"/>
      <c r="C28" s="3" t="s">
        <v>27</v>
      </c>
      <c r="D28" s="3" t="s">
        <v>32</v>
      </c>
      <c r="E28" s="3">
        <v>0.16</v>
      </c>
      <c r="F28" s="8">
        <v>0.04</v>
      </c>
    </row>
    <row r="29" spans="1:6" x14ac:dyDescent="0.4">
      <c r="A29" s="86"/>
      <c r="B29" s="90"/>
      <c r="C29" s="3" t="s">
        <v>128</v>
      </c>
      <c r="D29" s="3" t="s">
        <v>130</v>
      </c>
      <c r="E29" s="3">
        <v>0.16</v>
      </c>
      <c r="F29" s="8">
        <v>0.04</v>
      </c>
    </row>
    <row r="30" spans="1:6" x14ac:dyDescent="0.4">
      <c r="A30" s="86"/>
      <c r="B30" s="90"/>
      <c r="C30" s="3" t="s">
        <v>26</v>
      </c>
      <c r="D30" s="3" t="s">
        <v>31</v>
      </c>
      <c r="E30" s="3">
        <v>0.8</v>
      </c>
      <c r="F30" s="8">
        <v>0.2</v>
      </c>
    </row>
    <row r="31" spans="1:6" x14ac:dyDescent="0.4">
      <c r="A31" s="86"/>
      <c r="B31" s="90"/>
      <c r="C31" s="3" t="s">
        <v>25</v>
      </c>
      <c r="D31" s="3" t="s">
        <v>30</v>
      </c>
      <c r="E31" s="3">
        <v>0</v>
      </c>
      <c r="F31" s="8">
        <v>0</v>
      </c>
    </row>
    <row r="32" spans="1:6" x14ac:dyDescent="0.4">
      <c r="A32" s="86"/>
      <c r="B32" s="90"/>
      <c r="C32" s="3" t="s">
        <v>28</v>
      </c>
      <c r="D32" s="3" t="s">
        <v>33</v>
      </c>
      <c r="E32" s="3">
        <v>0</v>
      </c>
      <c r="F32" s="8">
        <v>0</v>
      </c>
    </row>
    <row r="33" spans="1:6" x14ac:dyDescent="0.4">
      <c r="A33" s="86"/>
      <c r="B33" s="91"/>
      <c r="C33" s="3" t="s">
        <v>129</v>
      </c>
      <c r="D33" s="3" t="s">
        <v>131</v>
      </c>
      <c r="E33" s="3"/>
      <c r="F33" s="8"/>
    </row>
    <row r="34" spans="1:6" x14ac:dyDescent="0.4">
      <c r="A34" s="39"/>
      <c r="B34" s="4"/>
      <c r="C34" s="3"/>
      <c r="D34" s="3"/>
      <c r="E34" s="3"/>
      <c r="F34" s="8"/>
    </row>
    <row r="35" spans="1:6" x14ac:dyDescent="0.4">
      <c r="A35" s="6"/>
      <c r="B35" s="4"/>
      <c r="C35" s="3"/>
      <c r="D35" s="3"/>
      <c r="E35" s="3"/>
      <c r="F35" s="8"/>
    </row>
    <row r="36" spans="1:6" x14ac:dyDescent="0.4">
      <c r="A36" s="6"/>
      <c r="B36" s="4"/>
      <c r="C36" s="3"/>
      <c r="D36" s="3"/>
      <c r="E36" s="3"/>
      <c r="F36" s="8"/>
    </row>
    <row r="37" spans="1:6" x14ac:dyDescent="0.4">
      <c r="A37" s="6"/>
      <c r="B37" s="4"/>
      <c r="C37" s="3"/>
      <c r="D37" s="3"/>
      <c r="E37" s="3"/>
      <c r="F37" s="8"/>
    </row>
    <row r="38" spans="1:6" x14ac:dyDescent="0.4">
      <c r="A38" s="6"/>
      <c r="B38" s="4"/>
      <c r="C38" s="3"/>
      <c r="D38" s="3"/>
      <c r="E38" s="3"/>
      <c r="F38" s="8"/>
    </row>
    <row r="39" spans="1:6" x14ac:dyDescent="0.4">
      <c r="A39" s="6"/>
      <c r="B39" s="4"/>
      <c r="C39" s="3"/>
      <c r="D39" s="3"/>
      <c r="E39" s="3"/>
      <c r="F39" s="8"/>
    </row>
    <row r="40" spans="1:6" x14ac:dyDescent="0.4">
      <c r="A40" s="6"/>
      <c r="B40" s="4"/>
      <c r="C40" s="3"/>
      <c r="D40" s="3"/>
      <c r="E40" s="3"/>
      <c r="F40" s="8"/>
    </row>
    <row r="41" spans="1:6" x14ac:dyDescent="0.4">
      <c r="A41" s="6"/>
      <c r="B41" s="4"/>
      <c r="C41" s="3"/>
      <c r="D41" s="3"/>
      <c r="E41" s="3"/>
      <c r="F41" s="8"/>
    </row>
    <row r="42" spans="1:6" x14ac:dyDescent="0.4">
      <c r="A42" s="6"/>
      <c r="B42" s="4"/>
      <c r="C42" s="3"/>
      <c r="D42" s="3"/>
      <c r="E42" s="3"/>
      <c r="F42" s="8"/>
    </row>
    <row r="43" spans="1:6" x14ac:dyDescent="0.4">
      <c r="A43" s="6"/>
      <c r="B43" s="4"/>
      <c r="C43" s="3"/>
      <c r="D43" s="3"/>
      <c r="E43" s="3"/>
      <c r="F43" s="8"/>
    </row>
    <row r="44" spans="1:6" x14ac:dyDescent="0.4">
      <c r="A44" s="6"/>
      <c r="B44" s="4"/>
      <c r="C44" s="3"/>
      <c r="D44" s="3"/>
      <c r="E44" s="3"/>
      <c r="F44" s="8"/>
    </row>
    <row r="45" spans="1:6" x14ac:dyDescent="0.4">
      <c r="A45" s="6"/>
      <c r="B45" s="4"/>
      <c r="C45" s="3"/>
      <c r="D45" s="3"/>
      <c r="E45" s="3"/>
      <c r="F45" s="8"/>
    </row>
    <row r="46" spans="1:6" x14ac:dyDescent="0.4">
      <c r="A46" s="6"/>
      <c r="B46" s="4"/>
      <c r="C46" s="3"/>
      <c r="D46" s="3"/>
      <c r="E46" s="3"/>
      <c r="F46" s="8"/>
    </row>
    <row r="47" spans="1:6" x14ac:dyDescent="0.4">
      <c r="A47" s="6"/>
      <c r="B47" s="4"/>
      <c r="C47" s="3"/>
      <c r="D47" s="3"/>
      <c r="E47" s="3"/>
      <c r="F47" s="8"/>
    </row>
    <row r="48" spans="1:6" x14ac:dyDescent="0.4">
      <c r="A48" s="6"/>
      <c r="B48" s="4"/>
      <c r="C48" s="3"/>
      <c r="D48" s="3"/>
      <c r="E48" s="3"/>
      <c r="F48" s="8"/>
    </row>
    <row r="49" spans="1:6" x14ac:dyDescent="0.4">
      <c r="A49" s="6"/>
      <c r="B49" s="4"/>
      <c r="C49" s="3"/>
      <c r="D49" s="3"/>
      <c r="E49" s="3"/>
      <c r="F49" s="8"/>
    </row>
    <row r="50" spans="1:6" x14ac:dyDescent="0.4">
      <c r="A50" s="6"/>
      <c r="B50" s="4"/>
      <c r="C50" s="3"/>
      <c r="D50" s="3"/>
      <c r="E50" s="3"/>
      <c r="F50" s="8"/>
    </row>
    <row r="51" spans="1:6" x14ac:dyDescent="0.4">
      <c r="A51" s="6"/>
      <c r="B51" s="4"/>
      <c r="C51" s="3"/>
      <c r="D51" s="3"/>
      <c r="E51" s="3"/>
      <c r="F51" s="8"/>
    </row>
    <row r="52" spans="1:6" x14ac:dyDescent="0.4">
      <c r="A52" s="6"/>
      <c r="B52" s="4"/>
      <c r="C52" s="3"/>
      <c r="D52" s="3"/>
      <c r="E52" s="3"/>
      <c r="F52" s="8"/>
    </row>
    <row r="53" spans="1:6" x14ac:dyDescent="0.4">
      <c r="A53" s="6"/>
      <c r="B53" s="4"/>
      <c r="C53" s="3"/>
      <c r="D53" s="3"/>
      <c r="E53" s="3"/>
      <c r="F53" s="8"/>
    </row>
    <row r="54" spans="1:6" x14ac:dyDescent="0.4">
      <c r="A54" s="6"/>
      <c r="B54" s="4"/>
      <c r="C54" s="3"/>
      <c r="D54" s="3"/>
      <c r="E54" s="3"/>
      <c r="F54" s="8"/>
    </row>
    <row r="55" spans="1:6" x14ac:dyDescent="0.4">
      <c r="A55" s="6"/>
      <c r="B55" s="4"/>
      <c r="C55" s="3"/>
      <c r="D55" s="3"/>
      <c r="E55" s="3"/>
      <c r="F55" s="8"/>
    </row>
    <row r="56" spans="1:6" x14ac:dyDescent="0.4">
      <c r="A56" s="6"/>
      <c r="B56" s="4"/>
      <c r="C56" s="3"/>
      <c r="D56" s="3"/>
      <c r="E56" s="3"/>
      <c r="F56" s="8"/>
    </row>
    <row r="57" spans="1:6" x14ac:dyDescent="0.4">
      <c r="A57" s="6"/>
      <c r="B57" s="4"/>
      <c r="C57" s="3"/>
      <c r="D57" s="3"/>
      <c r="E57" s="3"/>
      <c r="F57" s="8"/>
    </row>
    <row r="58" spans="1:6" x14ac:dyDescent="0.4">
      <c r="A58" s="6"/>
      <c r="B58" s="4"/>
      <c r="C58" s="3"/>
      <c r="D58" s="3"/>
      <c r="E58" s="3"/>
      <c r="F58" s="8"/>
    </row>
    <row r="59" spans="1:6" x14ac:dyDescent="0.4">
      <c r="A59" s="6"/>
      <c r="B59" s="4"/>
      <c r="C59" s="3"/>
      <c r="D59" s="3"/>
      <c r="E59" s="3"/>
      <c r="F59" s="8"/>
    </row>
    <row r="60" spans="1:6" x14ac:dyDescent="0.4">
      <c r="A60" s="6"/>
      <c r="B60" s="4"/>
      <c r="C60" s="3"/>
      <c r="D60" s="3"/>
      <c r="E60" s="3"/>
      <c r="F60" s="8"/>
    </row>
    <row r="61" spans="1:6" x14ac:dyDescent="0.4">
      <c r="A61" s="6"/>
      <c r="B61" s="4"/>
      <c r="C61" s="3"/>
      <c r="D61" s="3"/>
      <c r="E61" s="3"/>
      <c r="F61" s="8"/>
    </row>
    <row r="62" spans="1:6" x14ac:dyDescent="0.4">
      <c r="A62" s="6"/>
      <c r="B62" s="4"/>
      <c r="C62" s="3"/>
      <c r="D62" s="3"/>
      <c r="E62" s="3"/>
      <c r="F62" s="8"/>
    </row>
    <row r="63" spans="1:6" x14ac:dyDescent="0.4">
      <c r="A63" s="6"/>
      <c r="B63" s="4"/>
      <c r="C63" s="3"/>
      <c r="D63" s="3"/>
      <c r="E63" s="3"/>
      <c r="F63" s="8"/>
    </row>
    <row r="64" spans="1:6" x14ac:dyDescent="0.4">
      <c r="A64" s="6"/>
      <c r="B64" s="4"/>
      <c r="C64" s="3"/>
      <c r="D64" s="3"/>
      <c r="E64" s="3"/>
      <c r="F64" s="8"/>
    </row>
    <row r="65" spans="1:6" x14ac:dyDescent="0.4">
      <c r="A65" s="6"/>
      <c r="B65" s="4"/>
      <c r="C65" s="3"/>
      <c r="D65" s="3"/>
      <c r="E65" s="3"/>
      <c r="F65" s="8"/>
    </row>
    <row r="66" spans="1:6" x14ac:dyDescent="0.4">
      <c r="A66" s="6"/>
      <c r="B66" s="4"/>
      <c r="C66" s="3"/>
      <c r="D66" s="3"/>
      <c r="E66" s="3"/>
      <c r="F66" s="8"/>
    </row>
    <row r="67" spans="1:6" x14ac:dyDescent="0.4">
      <c r="A67" s="6"/>
      <c r="B67" s="4"/>
      <c r="C67" s="3"/>
      <c r="D67" s="3"/>
      <c r="E67" s="3"/>
      <c r="F67" s="8"/>
    </row>
    <row r="68" spans="1:6" x14ac:dyDescent="0.4">
      <c r="A68" s="6"/>
      <c r="B68" s="4"/>
      <c r="C68" s="3"/>
      <c r="D68" s="3"/>
      <c r="E68" s="3"/>
      <c r="F68" s="8"/>
    </row>
    <row r="69" spans="1:6" x14ac:dyDescent="0.4">
      <c r="A69" s="6"/>
      <c r="B69" s="4"/>
      <c r="C69" s="3"/>
      <c r="D69" s="3"/>
      <c r="E69" s="3"/>
      <c r="F69" s="8"/>
    </row>
    <row r="70" spans="1:6" x14ac:dyDescent="0.4">
      <c r="A70" s="6"/>
      <c r="B70" s="4"/>
      <c r="C70" s="3"/>
      <c r="D70" s="3"/>
      <c r="E70" s="3"/>
      <c r="F70" s="8"/>
    </row>
    <row r="71" spans="1:6" x14ac:dyDescent="0.4">
      <c r="A71" s="6"/>
      <c r="B71" s="4"/>
      <c r="C71" s="3"/>
      <c r="D71" s="3"/>
      <c r="E71" s="3"/>
      <c r="F71" s="8"/>
    </row>
    <row r="72" spans="1:6" x14ac:dyDescent="0.4">
      <c r="A72" s="6"/>
      <c r="B72" s="4"/>
      <c r="C72" s="3"/>
      <c r="D72" s="3"/>
      <c r="E72" s="3"/>
      <c r="F72" s="8"/>
    </row>
    <row r="73" spans="1:6" x14ac:dyDescent="0.4">
      <c r="A73" s="6"/>
      <c r="B73" s="4"/>
      <c r="C73" s="3"/>
      <c r="D73" s="3"/>
      <c r="E73" s="3"/>
      <c r="F73" s="8"/>
    </row>
    <row r="74" spans="1:6" x14ac:dyDescent="0.4">
      <c r="A74" s="6"/>
      <c r="B74" s="4"/>
      <c r="C74" s="3"/>
      <c r="D74" s="3"/>
      <c r="E74" s="3"/>
      <c r="F74" s="8"/>
    </row>
    <row r="75" spans="1:6" x14ac:dyDescent="0.4">
      <c r="A75" s="6"/>
      <c r="B75" s="4"/>
      <c r="C75" s="3"/>
      <c r="D75" s="3"/>
      <c r="E75" s="3"/>
      <c r="F75" s="8"/>
    </row>
    <row r="76" spans="1:6" x14ac:dyDescent="0.4">
      <c r="A76" s="6"/>
      <c r="B76" s="4"/>
      <c r="C76" s="3"/>
      <c r="D76" s="3"/>
      <c r="E76" s="3"/>
      <c r="F76" s="8"/>
    </row>
    <row r="77" spans="1:6" x14ac:dyDescent="0.4">
      <c r="A77" s="6"/>
      <c r="B77" s="4"/>
      <c r="C77" s="3"/>
      <c r="D77" s="3"/>
      <c r="E77" s="3"/>
      <c r="F77" s="8"/>
    </row>
    <row r="78" spans="1:6" x14ac:dyDescent="0.4">
      <c r="A78" s="6"/>
      <c r="B78" s="4"/>
      <c r="C78" s="3"/>
      <c r="D78" s="3"/>
      <c r="E78" s="3"/>
      <c r="F78" s="8"/>
    </row>
    <row r="79" spans="1:6" x14ac:dyDescent="0.4">
      <c r="A79" s="6"/>
      <c r="B79" s="4"/>
      <c r="C79" s="3"/>
      <c r="D79" s="3"/>
      <c r="E79" s="3"/>
      <c r="F79" s="8"/>
    </row>
    <row r="80" spans="1:6" x14ac:dyDescent="0.4">
      <c r="A80" s="6"/>
      <c r="B80" s="4"/>
      <c r="C80" s="3"/>
      <c r="D80" s="3"/>
      <c r="E80" s="3"/>
      <c r="F80" s="8"/>
    </row>
    <row r="81" spans="1:6" x14ac:dyDescent="0.4">
      <c r="A81" s="6"/>
      <c r="B81" s="4"/>
      <c r="C81" s="3"/>
      <c r="D81" s="3"/>
      <c r="E81" s="3"/>
      <c r="F81" s="8"/>
    </row>
    <row r="82" spans="1:6" x14ac:dyDescent="0.4">
      <c r="A82" s="6"/>
      <c r="B82" s="4"/>
      <c r="C82" s="3"/>
      <c r="D82" s="3"/>
      <c r="E82" s="3"/>
      <c r="F82" s="8"/>
    </row>
    <row r="83" spans="1:6" x14ac:dyDescent="0.4">
      <c r="A83" s="6"/>
      <c r="B83" s="4"/>
      <c r="C83" s="3"/>
      <c r="D83" s="3"/>
      <c r="E83" s="3"/>
      <c r="F83" s="8"/>
    </row>
    <row r="84" spans="1:6" x14ac:dyDescent="0.4">
      <c r="A84" s="6"/>
      <c r="B84" s="4"/>
      <c r="C84" s="3"/>
      <c r="D84" s="3"/>
      <c r="E84" s="3"/>
      <c r="F84" s="8"/>
    </row>
    <row r="85" spans="1:6" x14ac:dyDescent="0.4">
      <c r="A85" s="6"/>
      <c r="B85" s="4"/>
      <c r="C85" s="3"/>
      <c r="D85" s="3"/>
      <c r="E85" s="3"/>
      <c r="F85" s="8"/>
    </row>
    <row r="86" spans="1:6" x14ac:dyDescent="0.4">
      <c r="A86" s="6"/>
      <c r="B86" s="4"/>
      <c r="C86" s="3"/>
      <c r="D86" s="3"/>
      <c r="E86" s="3"/>
      <c r="F86" s="8"/>
    </row>
    <row r="87" spans="1:6" x14ac:dyDescent="0.4">
      <c r="A87" s="6"/>
      <c r="B87" s="4"/>
      <c r="C87" s="3"/>
      <c r="D87" s="3"/>
      <c r="E87" s="3"/>
      <c r="F87" s="8"/>
    </row>
    <row r="88" spans="1:6" x14ac:dyDescent="0.4">
      <c r="A88" s="6"/>
      <c r="B88" s="4"/>
      <c r="C88" s="3"/>
      <c r="D88" s="3"/>
      <c r="E88" s="3"/>
      <c r="F88" s="8"/>
    </row>
    <row r="89" spans="1:6" x14ac:dyDescent="0.4">
      <c r="A89" s="6"/>
      <c r="B89" s="4"/>
      <c r="C89" s="3"/>
      <c r="D89" s="3"/>
      <c r="E89" s="3"/>
      <c r="F89" s="8"/>
    </row>
    <row r="90" spans="1:6" x14ac:dyDescent="0.4">
      <c r="A90" s="6"/>
      <c r="B90" s="4"/>
      <c r="C90" s="3"/>
      <c r="D90" s="3"/>
      <c r="E90" s="3"/>
      <c r="F90" s="8"/>
    </row>
    <row r="91" spans="1:6" x14ac:dyDescent="0.4">
      <c r="A91" s="6"/>
      <c r="B91" s="4"/>
      <c r="C91" s="3"/>
      <c r="D91" s="3"/>
      <c r="E91" s="3"/>
      <c r="F91" s="8"/>
    </row>
    <row r="92" spans="1:6" x14ac:dyDescent="0.4">
      <c r="A92" s="6"/>
      <c r="B92" s="4"/>
      <c r="C92" s="3"/>
      <c r="D92" s="3"/>
      <c r="E92" s="3"/>
      <c r="F92" s="8"/>
    </row>
    <row r="93" spans="1:6" x14ac:dyDescent="0.4">
      <c r="A93" s="6"/>
      <c r="B93" s="4"/>
      <c r="C93" s="3"/>
      <c r="D93" s="3"/>
      <c r="E93" s="3"/>
      <c r="F93" s="8"/>
    </row>
    <row r="94" spans="1:6" x14ac:dyDescent="0.4">
      <c r="A94" s="6"/>
      <c r="B94" s="4"/>
      <c r="C94" s="3"/>
      <c r="D94" s="3"/>
      <c r="E94" s="3"/>
      <c r="F94" s="8"/>
    </row>
    <row r="95" spans="1:6" x14ac:dyDescent="0.4">
      <c r="A95" s="6"/>
      <c r="B95" s="4"/>
      <c r="C95" s="3"/>
      <c r="D95" s="3"/>
      <c r="E95" s="3"/>
      <c r="F95" s="8"/>
    </row>
    <row r="96" spans="1:6" x14ac:dyDescent="0.4">
      <c r="A96" s="6"/>
      <c r="B96" s="4"/>
      <c r="C96" s="3"/>
      <c r="D96" s="3"/>
      <c r="E96" s="3"/>
      <c r="F96" s="8"/>
    </row>
    <row r="97" spans="1:6" x14ac:dyDescent="0.4">
      <c r="A97" s="6"/>
      <c r="B97" s="4"/>
      <c r="C97" s="3"/>
      <c r="D97" s="3"/>
      <c r="E97" s="3"/>
      <c r="F97" s="8"/>
    </row>
    <row r="98" spans="1:6" x14ac:dyDescent="0.4">
      <c r="A98" s="6"/>
      <c r="B98" s="4"/>
      <c r="C98" s="3"/>
      <c r="D98" s="3"/>
      <c r="E98" s="3"/>
      <c r="F98" s="8"/>
    </row>
    <row r="99" spans="1:6" x14ac:dyDescent="0.4">
      <c r="A99" s="6"/>
      <c r="B99" s="4"/>
      <c r="C99" s="3"/>
      <c r="D99" s="3"/>
      <c r="E99" s="3"/>
      <c r="F99" s="8"/>
    </row>
    <row r="100" spans="1:6" x14ac:dyDescent="0.4">
      <c r="A100" s="6"/>
      <c r="B100" s="4"/>
      <c r="C100" s="3"/>
      <c r="D100" s="3"/>
      <c r="E100" s="3"/>
      <c r="F100" s="8"/>
    </row>
    <row r="101" spans="1:6" x14ac:dyDescent="0.4">
      <c r="A101" s="6"/>
      <c r="B101" s="4"/>
      <c r="C101" s="3"/>
      <c r="D101" s="3"/>
      <c r="E101" s="3"/>
      <c r="F101" s="8"/>
    </row>
    <row r="102" spans="1:6" x14ac:dyDescent="0.4">
      <c r="A102" s="6"/>
      <c r="B102" s="4"/>
      <c r="C102" s="3"/>
      <c r="D102" s="3"/>
      <c r="E102" s="3"/>
      <c r="F102" s="8"/>
    </row>
    <row r="103" spans="1:6" x14ac:dyDescent="0.4">
      <c r="A103" s="6"/>
      <c r="B103" s="4"/>
      <c r="C103" s="3"/>
      <c r="D103" s="3"/>
      <c r="E103" s="3"/>
      <c r="F103" s="8"/>
    </row>
    <row r="104" spans="1:6" x14ac:dyDescent="0.4">
      <c r="A104" s="6"/>
      <c r="B104" s="4"/>
      <c r="C104" s="3"/>
      <c r="D104" s="3"/>
      <c r="E104" s="3"/>
      <c r="F104" s="8"/>
    </row>
    <row r="105" spans="1:6" x14ac:dyDescent="0.4">
      <c r="A105" s="6"/>
      <c r="B105" s="4"/>
      <c r="C105" s="3"/>
      <c r="D105" s="3"/>
      <c r="E105" s="3"/>
      <c r="F105" s="8"/>
    </row>
    <row r="106" spans="1:6" x14ac:dyDescent="0.4">
      <c r="A106" s="6"/>
      <c r="B106" s="4"/>
      <c r="C106" s="3"/>
      <c r="D106" s="3"/>
      <c r="E106" s="3"/>
      <c r="F106" s="8"/>
    </row>
    <row r="107" spans="1:6" x14ac:dyDescent="0.4">
      <c r="A107" s="6"/>
      <c r="B107" s="4"/>
      <c r="C107" s="3"/>
      <c r="D107" s="3"/>
      <c r="E107" s="3"/>
      <c r="F107" s="8"/>
    </row>
    <row r="108" spans="1:6" x14ac:dyDescent="0.4">
      <c r="A108" s="6"/>
      <c r="B108" s="4"/>
      <c r="C108" s="3"/>
      <c r="D108" s="3"/>
      <c r="E108" s="3"/>
      <c r="F108" s="8"/>
    </row>
    <row r="109" spans="1:6" x14ac:dyDescent="0.4">
      <c r="A109" s="6"/>
      <c r="B109" s="4"/>
      <c r="C109" s="3"/>
      <c r="D109" s="3"/>
      <c r="E109" s="3"/>
      <c r="F109" s="8"/>
    </row>
    <row r="110" spans="1:6" x14ac:dyDescent="0.4">
      <c r="A110" s="6"/>
      <c r="B110" s="4"/>
      <c r="C110" s="3"/>
      <c r="D110" s="3"/>
      <c r="E110" s="3"/>
      <c r="F110" s="8"/>
    </row>
    <row r="111" spans="1:6" x14ac:dyDescent="0.4">
      <c r="A111" s="6"/>
      <c r="B111" s="4"/>
      <c r="C111" s="3"/>
      <c r="D111" s="3"/>
      <c r="E111" s="3"/>
      <c r="F111" s="8"/>
    </row>
    <row r="112" spans="1:6" x14ac:dyDescent="0.4">
      <c r="A112" s="6"/>
      <c r="B112" s="4"/>
      <c r="C112" s="3"/>
      <c r="D112" s="3"/>
      <c r="E112" s="3"/>
      <c r="F112" s="8"/>
    </row>
    <row r="113" spans="1:6" x14ac:dyDescent="0.4">
      <c r="A113" s="6"/>
      <c r="B113" s="4"/>
      <c r="C113" s="3"/>
      <c r="D113" s="3"/>
      <c r="E113" s="3"/>
      <c r="F113" s="8"/>
    </row>
    <row r="114" spans="1:6" ht="21.6" thickBot="1" x14ac:dyDescent="0.45">
      <c r="A114" s="9">
        <v>15</v>
      </c>
      <c r="B114" s="41" t="s">
        <v>117</v>
      </c>
      <c r="C114" s="10">
        <v>15.1</v>
      </c>
      <c r="D114" s="10" t="s">
        <v>118</v>
      </c>
      <c r="E114" s="10">
        <v>0</v>
      </c>
      <c r="F114" s="11">
        <v>0</v>
      </c>
    </row>
  </sheetData>
  <mergeCells count="8">
    <mergeCell ref="A1:F1"/>
    <mergeCell ref="A3:B3"/>
    <mergeCell ref="C3:D3"/>
    <mergeCell ref="E3:F3"/>
    <mergeCell ref="A23:A33"/>
    <mergeCell ref="A5:A16"/>
    <mergeCell ref="B23:B33"/>
    <mergeCell ref="B5:B16"/>
  </mergeCells>
  <phoneticPr fontId="3"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AF4634-F57C-4802-B7FF-F7FC33F62CDF}">
  <sheetPr codeName="Feuil7"/>
  <dimension ref="A1:D11"/>
  <sheetViews>
    <sheetView workbookViewId="0"/>
  </sheetViews>
  <sheetFormatPr baseColWidth="10" defaultRowHeight="21" x14ac:dyDescent="0.4"/>
  <cols>
    <col min="1" max="1" width="8.5703125" bestFit="1" customWidth="1"/>
    <col min="2" max="2" width="36.78515625" bestFit="1" customWidth="1"/>
    <col min="3" max="3" width="18.85546875" bestFit="1" customWidth="1"/>
    <col min="4" max="4" width="15.28515625" bestFit="1" customWidth="1"/>
  </cols>
  <sheetData>
    <row r="1" spans="1:4" x14ac:dyDescent="0.4">
      <c r="B1" t="s">
        <v>133</v>
      </c>
    </row>
    <row r="2" spans="1:4" ht="21.6" thickBot="1" x14ac:dyDescent="0.45"/>
    <row r="3" spans="1:4" ht="23.4" x14ac:dyDescent="0.4">
      <c r="A3" s="92" t="s">
        <v>218</v>
      </c>
      <c r="B3" s="94" t="s">
        <v>134</v>
      </c>
      <c r="C3" s="95" t="s">
        <v>219</v>
      </c>
      <c r="D3" s="96"/>
    </row>
    <row r="4" spans="1:4" x14ac:dyDescent="0.4">
      <c r="A4" s="93"/>
      <c r="B4" s="80"/>
      <c r="C4" s="15" t="s">
        <v>135</v>
      </c>
      <c r="D4" s="68" t="s">
        <v>136</v>
      </c>
    </row>
    <row r="5" spans="1:4" x14ac:dyDescent="0.4">
      <c r="A5" s="6">
        <v>3</v>
      </c>
      <c r="B5" s="3" t="s">
        <v>137</v>
      </c>
      <c r="C5" s="71">
        <v>0.66579999999999995</v>
      </c>
      <c r="D5" s="69">
        <v>0.26</v>
      </c>
    </row>
    <row r="6" spans="1:4" x14ac:dyDescent="0.4">
      <c r="A6" s="6">
        <v>4</v>
      </c>
      <c r="B6" s="3" t="s">
        <v>138</v>
      </c>
      <c r="C6" s="71">
        <v>0.378</v>
      </c>
      <c r="D6" s="69">
        <v>0.252</v>
      </c>
    </row>
    <row r="7" spans="1:4" x14ac:dyDescent="0.4">
      <c r="A7" s="6">
        <v>5</v>
      </c>
      <c r="B7" s="3" t="s">
        <v>139</v>
      </c>
      <c r="C7" s="71">
        <v>0.42630000000000001</v>
      </c>
      <c r="D7" s="69">
        <v>0.39610000000000001</v>
      </c>
    </row>
    <row r="8" spans="1:4" x14ac:dyDescent="0.4">
      <c r="A8" s="6">
        <v>6</v>
      </c>
      <c r="B8" s="3" t="s">
        <v>140</v>
      </c>
      <c r="C8" s="71">
        <v>0.42199999999999999</v>
      </c>
      <c r="D8" s="69">
        <v>0.3921</v>
      </c>
    </row>
    <row r="9" spans="1:4" x14ac:dyDescent="0.4">
      <c r="A9" s="6">
        <v>7</v>
      </c>
      <c r="B9" s="3" t="s">
        <v>141</v>
      </c>
      <c r="C9" s="71">
        <v>0.27710000000000001</v>
      </c>
      <c r="D9" s="69">
        <v>0.1479</v>
      </c>
    </row>
    <row r="10" spans="1:4" x14ac:dyDescent="0.4">
      <c r="A10" s="6">
        <v>9</v>
      </c>
      <c r="B10" s="3" t="s">
        <v>142</v>
      </c>
      <c r="C10" s="71">
        <v>0.21729999999999999</v>
      </c>
      <c r="D10" s="69">
        <v>9.2399999999999996E-2</v>
      </c>
    </row>
    <row r="11" spans="1:4" ht="21.6" thickBot="1" x14ac:dyDescent="0.45">
      <c r="A11" s="9">
        <v>10</v>
      </c>
      <c r="B11" s="10" t="s">
        <v>143</v>
      </c>
      <c r="C11" s="72">
        <v>0.35410000000000003</v>
      </c>
      <c r="D11" s="70">
        <v>0.1479</v>
      </c>
    </row>
  </sheetData>
  <mergeCells count="3">
    <mergeCell ref="A3:A4"/>
    <mergeCell ref="B3:B4"/>
    <mergeCell ref="C3:D3"/>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7E8E4C-D79F-4600-A884-A7D256FD51C0}">
  <sheetPr codeName="Feuil8"/>
  <dimension ref="A1:Y9"/>
  <sheetViews>
    <sheetView workbookViewId="0"/>
  </sheetViews>
  <sheetFormatPr baseColWidth="10" defaultRowHeight="21" x14ac:dyDescent="0.4"/>
  <cols>
    <col min="1" max="1" width="8.85546875" bestFit="1" customWidth="1"/>
    <col min="2" max="2" width="7.78515625" bestFit="1" customWidth="1"/>
    <col min="3" max="3" width="10" bestFit="1" customWidth="1"/>
    <col min="4" max="4" width="3.78515625" bestFit="1" customWidth="1"/>
    <col min="5" max="5" width="2.78515625" bestFit="1" customWidth="1"/>
    <col min="6" max="6" width="4.78515625" bestFit="1" customWidth="1"/>
    <col min="7" max="7" width="10.640625" bestFit="1" customWidth="1"/>
    <col min="8" max="8" width="8.92578125" bestFit="1" customWidth="1"/>
    <col min="9" max="9" width="5" bestFit="1" customWidth="1"/>
    <col min="10" max="11" width="5.78515625" bestFit="1" customWidth="1"/>
    <col min="12" max="12" width="5.35546875" bestFit="1" customWidth="1"/>
    <col min="13" max="13" width="8.640625" customWidth="1"/>
  </cols>
  <sheetData>
    <row r="1" spans="1:25" x14ac:dyDescent="0.4">
      <c r="B1" s="97" t="s">
        <v>157</v>
      </c>
      <c r="C1" s="97"/>
      <c r="D1" s="97"/>
      <c r="E1" s="97"/>
      <c r="F1" s="97"/>
      <c r="G1" s="97"/>
      <c r="H1" s="97"/>
      <c r="I1" s="97"/>
      <c r="J1" s="97"/>
      <c r="K1" s="97"/>
      <c r="L1" s="97"/>
      <c r="M1" s="97"/>
      <c r="N1" s="98" t="s">
        <v>149</v>
      </c>
      <c r="O1" s="99"/>
      <c r="P1" s="99"/>
      <c r="Q1" s="99"/>
      <c r="R1" s="99"/>
      <c r="S1" s="99"/>
      <c r="T1" s="99"/>
      <c r="U1" s="99"/>
      <c r="V1" s="99"/>
      <c r="W1" s="99"/>
      <c r="X1" s="99"/>
      <c r="Y1" s="100"/>
    </row>
    <row r="2" spans="1:25" ht="21.6" thickBot="1" x14ac:dyDescent="0.45">
      <c r="B2" s="97"/>
      <c r="C2" s="97"/>
      <c r="D2" s="97"/>
      <c r="E2" s="97"/>
      <c r="F2" s="97"/>
      <c r="G2" s="97"/>
      <c r="H2" s="97"/>
      <c r="I2" s="97"/>
      <c r="J2" s="97"/>
      <c r="K2" s="97"/>
      <c r="L2" s="97"/>
      <c r="M2" s="97"/>
      <c r="N2" s="101" t="s">
        <v>135</v>
      </c>
      <c r="O2" s="102"/>
      <c r="P2" s="102"/>
      <c r="Q2" s="102"/>
      <c r="R2" s="102"/>
      <c r="S2" s="102"/>
      <c r="T2" s="102" t="s">
        <v>136</v>
      </c>
      <c r="U2" s="102"/>
      <c r="V2" s="102"/>
      <c r="W2" s="102"/>
      <c r="X2" s="102"/>
      <c r="Y2" s="103"/>
    </row>
    <row r="3" spans="1:25" ht="63" x14ac:dyDescent="0.4">
      <c r="A3" s="51" t="s">
        <v>152</v>
      </c>
      <c r="B3" s="52" t="s">
        <v>4</v>
      </c>
      <c r="C3" s="52" t="s">
        <v>53</v>
      </c>
      <c r="D3" s="52" t="s">
        <v>74</v>
      </c>
      <c r="E3" s="52" t="s">
        <v>132</v>
      </c>
      <c r="F3" s="52" t="s">
        <v>153</v>
      </c>
      <c r="G3" s="52" t="s">
        <v>10</v>
      </c>
      <c r="H3" s="52" t="s">
        <v>57</v>
      </c>
      <c r="I3" s="52" t="s">
        <v>154</v>
      </c>
      <c r="J3" s="52" t="s">
        <v>34</v>
      </c>
      <c r="K3" s="52" t="s">
        <v>35</v>
      </c>
      <c r="L3" s="52" t="s">
        <v>155</v>
      </c>
      <c r="M3" s="52" t="s">
        <v>144</v>
      </c>
      <c r="N3" s="53" t="s">
        <v>151</v>
      </c>
      <c r="O3" s="53" t="s">
        <v>45</v>
      </c>
      <c r="P3" s="53" t="s">
        <v>48</v>
      </c>
      <c r="Q3" s="53" t="s">
        <v>156</v>
      </c>
      <c r="R3" s="53" t="s">
        <v>46</v>
      </c>
      <c r="S3" s="53" t="s">
        <v>150</v>
      </c>
      <c r="T3" s="53" t="s">
        <v>151</v>
      </c>
      <c r="U3" s="53" t="s">
        <v>45</v>
      </c>
      <c r="V3" s="53" t="s">
        <v>48</v>
      </c>
      <c r="W3" s="53" t="s">
        <v>156</v>
      </c>
      <c r="X3" s="53" t="s">
        <v>46</v>
      </c>
      <c r="Y3" s="54" t="s">
        <v>150</v>
      </c>
    </row>
    <row r="4" spans="1:25" x14ac:dyDescent="0.4">
      <c r="A4" s="6">
        <v>157630</v>
      </c>
      <c r="B4" s="3">
        <v>9590789</v>
      </c>
      <c r="C4" s="3" t="s">
        <v>6</v>
      </c>
      <c r="D4" s="3">
        <v>188</v>
      </c>
      <c r="E4" s="3">
        <v>32</v>
      </c>
      <c r="F4" s="3">
        <v>12.1</v>
      </c>
      <c r="G4" s="3" t="s">
        <v>11</v>
      </c>
      <c r="H4" s="3">
        <v>6</v>
      </c>
      <c r="I4" s="3" t="s">
        <v>14</v>
      </c>
      <c r="J4" s="3">
        <v>49000</v>
      </c>
      <c r="K4" s="3">
        <v>4800</v>
      </c>
      <c r="L4" s="3">
        <v>10.9</v>
      </c>
      <c r="M4" s="3">
        <v>72794</v>
      </c>
      <c r="N4" s="3">
        <v>30719</v>
      </c>
      <c r="O4" s="3">
        <v>5222</v>
      </c>
      <c r="P4" s="3">
        <v>0.67310000000000003</v>
      </c>
      <c r="Q4" s="35">
        <v>0</v>
      </c>
      <c r="R4" s="3">
        <v>0</v>
      </c>
      <c r="S4" s="3">
        <v>25497</v>
      </c>
      <c r="T4" s="43">
        <v>28543</v>
      </c>
      <c r="U4" s="3"/>
      <c r="V4" s="44">
        <v>6.59E-2</v>
      </c>
      <c r="W4" s="35">
        <v>0.3</v>
      </c>
      <c r="X4" s="22">
        <v>8563</v>
      </c>
      <c r="Y4" s="45">
        <v>19980</v>
      </c>
    </row>
    <row r="5" spans="1:25" x14ac:dyDescent="0.4">
      <c r="A5" s="6">
        <v>157629</v>
      </c>
      <c r="B5" s="3">
        <v>9776418</v>
      </c>
      <c r="C5" s="3" t="s">
        <v>66</v>
      </c>
      <c r="D5" s="3">
        <v>400</v>
      </c>
      <c r="E5" s="3">
        <v>59</v>
      </c>
      <c r="F5" s="3">
        <v>15.4</v>
      </c>
      <c r="G5" s="3" t="s">
        <v>68</v>
      </c>
      <c r="H5" s="3">
        <v>9</v>
      </c>
      <c r="I5" s="3" t="s">
        <v>73</v>
      </c>
      <c r="J5" s="3">
        <v>48640</v>
      </c>
      <c r="K5" s="3">
        <v>48000</v>
      </c>
      <c r="L5" s="3">
        <v>21.5</v>
      </c>
      <c r="M5" s="3">
        <v>507400</v>
      </c>
      <c r="N5" s="3">
        <v>110258</v>
      </c>
      <c r="O5" s="3">
        <v>0</v>
      </c>
      <c r="P5" s="3">
        <v>9.5899999999999999E-2</v>
      </c>
      <c r="Q5" s="35">
        <v>0.3</v>
      </c>
      <c r="R5" s="3">
        <v>33077</v>
      </c>
      <c r="S5" s="43">
        <v>77181</v>
      </c>
      <c r="T5" s="43">
        <v>46884</v>
      </c>
      <c r="U5" s="3">
        <v>0</v>
      </c>
      <c r="V5" s="44">
        <v>9.4600000000000004E-2</v>
      </c>
      <c r="W5" s="35">
        <v>0.3</v>
      </c>
      <c r="X5" s="22">
        <v>14065</v>
      </c>
      <c r="Y5" s="45">
        <v>32819</v>
      </c>
    </row>
    <row r="6" spans="1:25" x14ac:dyDescent="0.4">
      <c r="A6" s="6">
        <v>157628</v>
      </c>
      <c r="B6" s="3">
        <v>9328911</v>
      </c>
      <c r="C6" s="3" t="s">
        <v>145</v>
      </c>
      <c r="D6" s="3">
        <v>120</v>
      </c>
      <c r="E6" s="3">
        <v>17</v>
      </c>
      <c r="F6" s="3">
        <v>65</v>
      </c>
      <c r="G6" s="3" t="s">
        <v>72</v>
      </c>
      <c r="H6" s="3">
        <v>6</v>
      </c>
      <c r="I6" s="3" t="s">
        <v>73</v>
      </c>
      <c r="J6" s="3">
        <v>28650</v>
      </c>
      <c r="K6" s="3">
        <v>26300</v>
      </c>
      <c r="L6" s="3">
        <v>6.3</v>
      </c>
      <c r="M6" s="3">
        <v>13260</v>
      </c>
      <c r="N6" s="43">
        <v>5596</v>
      </c>
      <c r="O6" s="3">
        <v>0</v>
      </c>
      <c r="P6" s="3">
        <v>2.1606000000000001</v>
      </c>
      <c r="Q6" s="35">
        <v>0</v>
      </c>
      <c r="R6" s="3">
        <v>0</v>
      </c>
      <c r="S6" s="3">
        <v>5596</v>
      </c>
      <c r="T6" s="43">
        <v>5199</v>
      </c>
      <c r="U6" s="3">
        <v>0</v>
      </c>
      <c r="V6" s="44">
        <v>1.9834000000000001</v>
      </c>
      <c r="W6" s="35">
        <v>0</v>
      </c>
      <c r="X6" s="22">
        <v>0</v>
      </c>
      <c r="Y6" s="45">
        <v>5199</v>
      </c>
    </row>
    <row r="7" spans="1:25" x14ac:dyDescent="0.4">
      <c r="A7" s="6">
        <v>157627</v>
      </c>
      <c r="B7" s="3">
        <v>9478199</v>
      </c>
      <c r="C7" s="3" t="s">
        <v>65</v>
      </c>
      <c r="D7" s="3">
        <v>118</v>
      </c>
      <c r="E7" s="3">
        <v>15</v>
      </c>
      <c r="F7" s="3">
        <v>7.3</v>
      </c>
      <c r="G7" s="3" t="s">
        <v>72</v>
      </c>
      <c r="H7" s="3">
        <v>10</v>
      </c>
      <c r="I7" s="3" t="s">
        <v>73</v>
      </c>
      <c r="J7" s="3">
        <v>27930</v>
      </c>
      <c r="K7" s="3">
        <v>26880</v>
      </c>
      <c r="L7" s="3">
        <v>5.9</v>
      </c>
      <c r="M7" s="3">
        <v>13093</v>
      </c>
      <c r="N7" s="3">
        <v>46.36</v>
      </c>
      <c r="O7" s="3">
        <v>0</v>
      </c>
      <c r="P7" s="43">
        <v>21332</v>
      </c>
      <c r="Q7" s="35">
        <v>0</v>
      </c>
      <c r="R7" s="3">
        <v>0</v>
      </c>
      <c r="S7" s="3">
        <v>4636</v>
      </c>
      <c r="T7" s="43">
        <v>1936</v>
      </c>
      <c r="U7" s="3"/>
      <c r="V7" s="44">
        <v>2.0529999999999999</v>
      </c>
      <c r="W7" s="35">
        <v>0</v>
      </c>
      <c r="X7" s="22">
        <v>0</v>
      </c>
      <c r="Y7" s="45">
        <v>1936</v>
      </c>
    </row>
    <row r="8" spans="1:25" x14ac:dyDescent="0.4">
      <c r="A8" s="6">
        <v>157626</v>
      </c>
      <c r="B8" s="3">
        <v>9896536</v>
      </c>
      <c r="C8" s="3" t="s">
        <v>146</v>
      </c>
      <c r="D8" s="3">
        <v>148</v>
      </c>
      <c r="E8" s="3">
        <v>22</v>
      </c>
      <c r="F8" s="3">
        <v>81</v>
      </c>
      <c r="G8" s="3" t="s">
        <v>11</v>
      </c>
      <c r="H8" s="3">
        <v>6</v>
      </c>
      <c r="I8" s="3" t="s">
        <v>73</v>
      </c>
      <c r="J8" s="3">
        <v>24550</v>
      </c>
      <c r="K8" s="3">
        <v>13800</v>
      </c>
      <c r="L8" s="3">
        <v>8</v>
      </c>
      <c r="M8" s="3">
        <v>26374</v>
      </c>
      <c r="N8" s="3">
        <v>11130</v>
      </c>
      <c r="O8" s="3">
        <v>0</v>
      </c>
      <c r="P8" s="3">
        <v>0.93079999999999996</v>
      </c>
      <c r="Q8" s="35">
        <v>0</v>
      </c>
      <c r="R8" s="3">
        <v>0</v>
      </c>
      <c r="S8" s="43">
        <v>11130</v>
      </c>
      <c r="T8" s="3">
        <v>10341</v>
      </c>
      <c r="U8" s="3">
        <v>0</v>
      </c>
      <c r="V8" s="44">
        <v>0.5232</v>
      </c>
      <c r="W8" s="35">
        <v>0</v>
      </c>
      <c r="X8" s="22">
        <v>0</v>
      </c>
      <c r="Y8" s="45">
        <v>10341</v>
      </c>
    </row>
    <row r="9" spans="1:25" ht="21.6" thickBot="1" x14ac:dyDescent="0.45">
      <c r="A9" s="9">
        <v>157625</v>
      </c>
      <c r="B9" s="10">
        <v>9445769</v>
      </c>
      <c r="C9" s="10" t="s">
        <v>147</v>
      </c>
      <c r="D9" s="10">
        <v>184</v>
      </c>
      <c r="E9" s="10">
        <v>27</v>
      </c>
      <c r="F9" s="10">
        <v>7</v>
      </c>
      <c r="G9" s="10" t="s">
        <v>148</v>
      </c>
      <c r="H9" s="10">
        <v>3</v>
      </c>
      <c r="I9" s="10" t="s">
        <v>73</v>
      </c>
      <c r="J9" s="10">
        <v>20600</v>
      </c>
      <c r="K9" s="10">
        <v>31800</v>
      </c>
      <c r="L9" s="10">
        <v>9.9</v>
      </c>
      <c r="M9" s="10">
        <v>49183</v>
      </c>
      <c r="N9" s="46">
        <v>32746</v>
      </c>
      <c r="O9" s="10">
        <v>0</v>
      </c>
      <c r="P9" s="10">
        <v>0.41880000000000001</v>
      </c>
      <c r="Q9" s="47">
        <v>0</v>
      </c>
      <c r="R9" s="10">
        <v>0</v>
      </c>
      <c r="S9" s="10">
        <v>32746</v>
      </c>
      <c r="T9" s="46">
        <v>12788</v>
      </c>
      <c r="U9" s="10">
        <v>0</v>
      </c>
      <c r="V9" s="48">
        <v>0.64659999999999995</v>
      </c>
      <c r="W9" s="47">
        <v>0</v>
      </c>
      <c r="X9" s="49">
        <v>0</v>
      </c>
      <c r="Y9" s="50">
        <v>12788</v>
      </c>
    </row>
  </sheetData>
  <mergeCells count="4">
    <mergeCell ref="B1:M2"/>
    <mergeCell ref="N1:Y1"/>
    <mergeCell ref="N2:S2"/>
    <mergeCell ref="T2:Y2"/>
  </mergeCell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D43B94-660A-44D2-9267-7AC50F6C7656}">
  <sheetPr codeName="Feuil9"/>
  <dimension ref="A1:C50"/>
  <sheetViews>
    <sheetView showGridLines="0" workbookViewId="0"/>
  </sheetViews>
  <sheetFormatPr baseColWidth="10" defaultRowHeight="21" x14ac:dyDescent="0.4"/>
  <sheetData>
    <row r="1" spans="1:2" ht="31.2" x14ac:dyDescent="0.6">
      <c r="A1" s="73" t="s">
        <v>158</v>
      </c>
    </row>
    <row r="2" spans="1:2" x14ac:dyDescent="0.4">
      <c r="A2" s="74" t="s">
        <v>220</v>
      </c>
    </row>
    <row r="4" spans="1:2" x14ac:dyDescent="0.4">
      <c r="A4" s="55" t="s">
        <v>159</v>
      </c>
    </row>
    <row r="5" spans="1:2" x14ac:dyDescent="0.4">
      <c r="A5" t="s">
        <v>160</v>
      </c>
    </row>
    <row r="6" spans="1:2" x14ac:dyDescent="0.4">
      <c r="B6" t="s">
        <v>161</v>
      </c>
    </row>
    <row r="7" spans="1:2" x14ac:dyDescent="0.4">
      <c r="B7" t="s">
        <v>162</v>
      </c>
    </row>
    <row r="8" spans="1:2" x14ac:dyDescent="0.4">
      <c r="B8" t="s">
        <v>163</v>
      </c>
    </row>
    <row r="10" spans="1:2" x14ac:dyDescent="0.4">
      <c r="B10" t="s">
        <v>164</v>
      </c>
    </row>
    <row r="12" spans="1:2" x14ac:dyDescent="0.4">
      <c r="A12" t="s">
        <v>165</v>
      </c>
    </row>
    <row r="15" spans="1:2" x14ac:dyDescent="0.4">
      <c r="A15" s="55" t="s">
        <v>166</v>
      </c>
    </row>
    <row r="16" spans="1:2" x14ac:dyDescent="0.4">
      <c r="A16" t="s">
        <v>167</v>
      </c>
    </row>
    <row r="17" spans="2:2" x14ac:dyDescent="0.4">
      <c r="B17" s="56" t="s">
        <v>168</v>
      </c>
    </row>
    <row r="18" spans="2:2" x14ac:dyDescent="0.4">
      <c r="B18" t="s">
        <v>169</v>
      </c>
    </row>
    <row r="19" spans="2:2" x14ac:dyDescent="0.4">
      <c r="B19" t="s">
        <v>170</v>
      </c>
    </row>
    <row r="20" spans="2:2" x14ac:dyDescent="0.4">
      <c r="B20" t="s">
        <v>171</v>
      </c>
    </row>
    <row r="22" spans="2:2" x14ac:dyDescent="0.4">
      <c r="B22" s="56" t="s">
        <v>172</v>
      </c>
    </row>
    <row r="23" spans="2:2" x14ac:dyDescent="0.4">
      <c r="B23" t="s">
        <v>173</v>
      </c>
    </row>
    <row r="25" spans="2:2" x14ac:dyDescent="0.4">
      <c r="B25" s="56" t="s">
        <v>174</v>
      </c>
    </row>
    <row r="26" spans="2:2" x14ac:dyDescent="0.4">
      <c r="B26" t="s">
        <v>175</v>
      </c>
    </row>
    <row r="27" spans="2:2" x14ac:dyDescent="0.4">
      <c r="B27" t="s">
        <v>176</v>
      </c>
    </row>
    <row r="28" spans="2:2" x14ac:dyDescent="0.4">
      <c r="B28" t="s">
        <v>177</v>
      </c>
    </row>
    <row r="29" spans="2:2" x14ac:dyDescent="0.4">
      <c r="B29" t="s">
        <v>178</v>
      </c>
    </row>
    <row r="30" spans="2:2" x14ac:dyDescent="0.4">
      <c r="B30" t="s">
        <v>179</v>
      </c>
    </row>
    <row r="31" spans="2:2" x14ac:dyDescent="0.4">
      <c r="B31" t="s">
        <v>180</v>
      </c>
    </row>
    <row r="32" spans="2:2" x14ac:dyDescent="0.4">
      <c r="B32" t="s">
        <v>80</v>
      </c>
    </row>
    <row r="33" spans="2:3" x14ac:dyDescent="0.4">
      <c r="B33" s="56" t="s">
        <v>181</v>
      </c>
    </row>
    <row r="34" spans="2:3" x14ac:dyDescent="0.4">
      <c r="B34" t="s">
        <v>182</v>
      </c>
    </row>
    <row r="35" spans="2:3" x14ac:dyDescent="0.4">
      <c r="C35" t="s">
        <v>183</v>
      </c>
    </row>
    <row r="36" spans="2:3" x14ac:dyDescent="0.4">
      <c r="C36" t="s">
        <v>184</v>
      </c>
    </row>
    <row r="37" spans="2:3" x14ac:dyDescent="0.4">
      <c r="C37" t="s">
        <v>185</v>
      </c>
    </row>
    <row r="38" spans="2:3" x14ac:dyDescent="0.4">
      <c r="C38" t="s">
        <v>186</v>
      </c>
    </row>
    <row r="39" spans="2:3" x14ac:dyDescent="0.4">
      <c r="C39" t="s">
        <v>187</v>
      </c>
    </row>
    <row r="40" spans="2:3" x14ac:dyDescent="0.4">
      <c r="C40" s="56" t="s">
        <v>188</v>
      </c>
    </row>
    <row r="41" spans="2:3" x14ac:dyDescent="0.4">
      <c r="C41" t="s">
        <v>189</v>
      </c>
    </row>
    <row r="42" spans="2:3" x14ac:dyDescent="0.4">
      <c r="C42" t="s">
        <v>190</v>
      </c>
    </row>
    <row r="43" spans="2:3" x14ac:dyDescent="0.4">
      <c r="B43" t="s">
        <v>191</v>
      </c>
    </row>
    <row r="44" spans="2:3" x14ac:dyDescent="0.4">
      <c r="B44" t="s">
        <v>178</v>
      </c>
    </row>
    <row r="45" spans="2:3" x14ac:dyDescent="0.4">
      <c r="B45" s="56" t="s">
        <v>192</v>
      </c>
    </row>
    <row r="46" spans="2:3" x14ac:dyDescent="0.4">
      <c r="B46" s="56" t="s">
        <v>193</v>
      </c>
    </row>
    <row r="47" spans="2:3" x14ac:dyDescent="0.4">
      <c r="B47" t="s">
        <v>194</v>
      </c>
    </row>
    <row r="48" spans="2:3" x14ac:dyDescent="0.4">
      <c r="B48" s="56" t="s">
        <v>195</v>
      </c>
    </row>
    <row r="49" spans="1:2" x14ac:dyDescent="0.4">
      <c r="B49" t="s">
        <v>187</v>
      </c>
    </row>
    <row r="50" spans="1:2" x14ac:dyDescent="0.4">
      <c r="A50" t="s">
        <v>165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9</vt:i4>
      </vt:variant>
      <vt:variant>
        <vt:lpstr>Plages nommées</vt:lpstr>
      </vt:variant>
      <vt:variant>
        <vt:i4>3</vt:i4>
      </vt:variant>
    </vt:vector>
  </HeadingPairs>
  <TitlesOfParts>
    <vt:vector size="12" baseType="lpstr">
      <vt:lpstr>Consignes</vt:lpstr>
      <vt:lpstr>Document5</vt:lpstr>
      <vt:lpstr>calculRedevances</vt:lpstr>
      <vt:lpstr>ListeNavires</vt:lpstr>
      <vt:lpstr>réduction</vt:lpstr>
      <vt:lpstr>redevanceMarchandises</vt:lpstr>
      <vt:lpstr>redevanceNavire</vt:lpstr>
      <vt:lpstr>recap</vt:lpstr>
      <vt:lpstr>Macros</vt:lpstr>
      <vt:lpstr>Marchandises</vt:lpstr>
      <vt:lpstr>Navires</vt:lpstr>
      <vt:lpstr>TypeNavire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Fra Par</dc:creator>
  <cp:lastModifiedBy>Fra Par</cp:lastModifiedBy>
  <dcterms:created xsi:type="dcterms:W3CDTF">2023-03-26T09:08:47Z</dcterms:created>
  <dcterms:modified xsi:type="dcterms:W3CDTF">2023-03-26T11:06:27Z</dcterms:modified>
</cp:coreProperties>
</file>